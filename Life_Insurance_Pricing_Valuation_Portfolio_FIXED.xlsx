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README" sheetId="1" state="visible" r:id="rId3"/>
    <sheet name="Dashboard" sheetId="2" state="visible" r:id="rId4"/>
    <sheet name="Pricing Analysis" sheetId="3" state="visible" r:id="rId5"/>
    <sheet name="Reserve Analysis" sheetId="4" state="visible" r:id="rId6"/>
    <sheet name="Sensitivity" sheetId="5" state="visible" r:id="rId7"/>
    <sheet name="Data Generator" sheetId="6" state="hidden" r:id="rId8"/>
    <sheet name="Random Lists" sheetId="7" state="hidden" r:id="rId9"/>
    <sheet name="DGI TABLE" sheetId="8" state="visible" r:id="rId10"/>
    <sheet name="Policyholder Data" sheetId="9" state="visible" r:id="rId11"/>
  </sheets>
  <definedNames>
    <definedName function="false" hidden="true" localSheetId="5" name="_xlnm._FilterDatabase" vbProcedure="false">'Data Generator'!$A$1:$K$110</definedName>
    <definedName function="false" hidden="true" localSheetId="8" name="_xlnm._FilterDatabase" vbProcedure="false">'Policyholder Data'!$A$1:$K$110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<sst xmlns="http://schemas.openxmlformats.org/spreadsheetml/2006/main" count="737" uniqueCount="221">
  <si>
    <t xml:space="preserve">LIFE INSURANCE PRICING &amp; VALUATION MODEL</t>
  </si>
  <si>
    <t xml:space="preserve">Portfolio Project</t>
  </si>
  <si>
    <t xml:space="preserve">Life Insurance Pricing &amp; Valuation Model</t>
  </si>
  <si>
    <t xml:space="preserve">Tools</t>
  </si>
  <si>
    <t xml:space="preserve">Microsoft Excel (actuarial modelling, formulas, data analysis)</t>
  </si>
  <si>
    <t xml:space="preserve">Scope</t>
  </si>
  <si>
    <t xml:space="preserve">Whole life, endowment and term assurance policies with non-participating and participating benefits.</t>
  </si>
  <si>
    <t xml:space="preserve">Objective</t>
  </si>
  <si>
    <t xml:space="preserve">Build an Excel-based actuarial model to calculate net premium rates and prospective policy reserves using the DGI mortality table and commutation functions.</t>
  </si>
  <si>
    <t xml:space="preserve">Key methods</t>
  </si>
  <si>
    <t xml:space="preserve">Actuarial present values, net premium calculation, participating bonus analysis, prospective reserves, and portfolio summaries.</t>
  </si>
  <si>
    <t xml:space="preserve">Dataset</t>
  </si>
  <si>
    <t xml:space="preserve">109 policyholder records generated for actuarial modelling and demonstration.</t>
  </si>
  <si>
    <t xml:space="preserve">Mortality basis</t>
  </si>
  <si>
    <t xml:space="preserve">DGI96 mortality table with qx and commutation functions Dx, Nx, Sx, Cx, Mx and Rx.</t>
  </si>
  <si>
    <t xml:space="preserve">Policy types</t>
  </si>
  <si>
    <t xml:space="preserve">Whole Life (WNP/WPS/WPC), Endowment (ENP/EPS/EPC), Term (TNP/TPS/TPC).</t>
  </si>
  <si>
    <t xml:space="preserve">Portfolio outputs</t>
  </si>
  <si>
    <t xml:space="preserve">Pricing Analysis, Reserve Analysis, Dashboard and policy-level calculations.</t>
  </si>
  <si>
    <t xml:space="preserve">Note</t>
  </si>
  <si>
    <t xml:space="preserve">This is a portfolio adaptation of an actuarial modelling exercise. Values are based on the model assumptions and mortality basis contained in the workbook.</t>
  </si>
  <si>
    <t xml:space="preserve">Author</t>
  </si>
  <si>
    <t xml:space="preserve">Muhammad Aiman bin Azaman</t>
  </si>
  <si>
    <t xml:space="preserve">Focus</t>
  </si>
  <si>
    <t xml:space="preserve">Actuarial Science | Insurance Data Analytics</t>
  </si>
  <si>
    <t xml:space="preserve">LIFE INSURANCE PRICING &amp; VALUATION DASHBOARD</t>
  </si>
  <si>
    <t xml:space="preserve">Policyholders</t>
  </si>
  <si>
    <t xml:space="preserve">Policy Types</t>
  </si>
  <si>
    <t xml:space="preserve">Total Sum Assured</t>
  </si>
  <si>
    <t xml:space="preserve">Average Net Premium Rate</t>
  </si>
  <si>
    <t xml:space="preserve">Total Reserves</t>
  </si>
  <si>
    <t xml:space="preserve">Participating Policies</t>
  </si>
  <si>
    <t xml:space="preserve">Policy Type</t>
  </si>
  <si>
    <t xml:space="preserve">Avg Net Premium Rate</t>
  </si>
  <si>
    <t xml:space="preserve">Average Reserve</t>
  </si>
  <si>
    <t xml:space="preserve">WNP</t>
  </si>
  <si>
    <t xml:space="preserve">WPS</t>
  </si>
  <si>
    <t xml:space="preserve">WPC</t>
  </si>
  <si>
    <t xml:space="preserve">ENP</t>
  </si>
  <si>
    <t xml:space="preserve">EPS</t>
  </si>
  <si>
    <t xml:space="preserve">EPC</t>
  </si>
  <si>
    <t xml:space="preserve">TNP</t>
  </si>
  <si>
    <t xml:space="preserve">TPS</t>
  </si>
  <si>
    <t xml:space="preserve">TPC</t>
  </si>
  <si>
    <t xml:space="preserve">PRICING ANALYSIS</t>
  </si>
  <si>
    <t xml:space="preserve">Minimum Net Premium Rate</t>
  </si>
  <si>
    <t xml:space="preserve">Maximum Net Premium Rate</t>
  </si>
  <si>
    <t xml:space="preserve">RESERVE ANALYSIS</t>
  </si>
  <si>
    <t xml:space="preserve">Total Reserve</t>
  </si>
  <si>
    <t xml:space="preserve">Maximum Reserve</t>
  </si>
  <si>
    <t xml:space="preserve">SENSITIVITY ANALYSIS</t>
  </si>
  <si>
    <t xml:space="preserve">Selected Policy Type</t>
  </si>
  <si>
    <t xml:space="preserve">Base Average Net Premium Rate</t>
  </si>
  <si>
    <t xml:space="preserve">Scenario</t>
  </si>
  <si>
    <t xml:space="preserve">Rate Multiplier</t>
  </si>
  <si>
    <t xml:space="preserve">Adjusted Premium Rate</t>
  </si>
  <si>
    <t xml:space="preserve">Base</t>
  </si>
  <si>
    <t xml:space="preserve">−10%</t>
  </si>
  <si>
    <t xml:space="preserve">−5%</t>
  </si>
  <si>
    <t xml:space="preserve">+5%</t>
  </si>
  <si>
    <t xml:space="preserve">+10%</t>
  </si>
  <si>
    <t xml:space="preserve">No.</t>
  </si>
  <si>
    <t xml:space="preserve">Name</t>
  </si>
  <si>
    <t xml:space="preserve">Gender</t>
  </si>
  <si>
    <t xml:space="preserve">Age at Issue, x</t>
  </si>
  <si>
    <t xml:space="preserve">Policy</t>
  </si>
  <si>
    <t xml:space="preserve">Policy Term, n</t>
  </si>
  <si>
    <t xml:space="preserve">Sum Assured</t>
  </si>
  <si>
    <t xml:space="preserve">Premium Term, h</t>
  </si>
  <si>
    <t xml:space="preserve">Type of Bonus</t>
  </si>
  <si>
    <t xml:space="preserve">Bonus %</t>
  </si>
  <si>
    <t xml:space="preserve">Time Since Inception, t</t>
  </si>
  <si>
    <t xml:space="preserve">Randomized Male Names</t>
  </si>
  <si>
    <t xml:space="preserve">Randomized Female Names</t>
  </si>
  <si>
    <t xml:space="preserve">Policy Code</t>
  </si>
  <si>
    <t xml:space="preserve">Meaning</t>
  </si>
  <si>
    <t xml:space="preserve">MUHAMMAD HAZIQ BIN SHAH</t>
  </si>
  <si>
    <t xml:space="preserve">NURUL HUSNA BINTI SHAH</t>
  </si>
  <si>
    <t xml:space="preserve">Whole Life – Non-Participating</t>
  </si>
  <si>
    <t xml:space="preserve">MUHAMMAD HAZWAN BIN RAMLI</t>
  </si>
  <si>
    <t xml:space="preserve">NUR SYAZWANI BINTI SALLEH</t>
  </si>
  <si>
    <t xml:space="preserve">Whole Life – Participating – Simple Reversionary Bonus</t>
  </si>
  <si>
    <t xml:space="preserve">MUHAMMAD IRFAN BIN AZIZ</t>
  </si>
  <si>
    <t xml:space="preserve">NUR SHAFIQAH BINTI MAHADI</t>
  </si>
  <si>
    <t xml:space="preserve">Whole Life – Participating – Compound Reversionary Bonus</t>
  </si>
  <si>
    <t xml:space="preserve">AHMAD LUQMAN BIN AZHAR</t>
  </si>
  <si>
    <t xml:space="preserve">NUR ALIA BINTI RAZALI</t>
  </si>
  <si>
    <t xml:space="preserve">Endowment – Non-Participating</t>
  </si>
  <si>
    <t xml:space="preserve">AMIR SYAKIR BIN ZAIDI</t>
  </si>
  <si>
    <t xml:space="preserve">NUR HANNA BINTI AZMAN</t>
  </si>
  <si>
    <t xml:space="preserve">Endowment – Participating – Simple Reversionary Bonus</t>
  </si>
  <si>
    <t xml:space="preserve">MUHAMMAD SHAFIQ BIN MAHADI</t>
  </si>
  <si>
    <t xml:space="preserve">NUR HAZREENA BINTI JAMAL</t>
  </si>
  <si>
    <t xml:space="preserve">Endowment – Participating – Compound Reversionary Bonus</t>
  </si>
  <si>
    <t xml:space="preserve">MUHAMMAD RAYYAN BIN HISHAM</t>
  </si>
  <si>
    <t xml:space="preserve">NUR MAISARAH BINTI ZAINAL</t>
  </si>
  <si>
    <t xml:space="preserve">Term – Non-Participating</t>
  </si>
  <si>
    <t xml:space="preserve">MUHAMMAD IKRAM BIN MUSTAFA</t>
  </si>
  <si>
    <t xml:space="preserve">SITI NURZAHIRAH BINTI OMAR</t>
  </si>
  <si>
    <t xml:space="preserve">Term – Participating – Simple Reversionary Bonus</t>
  </si>
  <si>
    <t xml:space="preserve">MUHAMMAD SYAFIQ BIN JAMAL</t>
  </si>
  <si>
    <t xml:space="preserve">NUR HAZWANI BINTI ROSLAN</t>
  </si>
  <si>
    <t xml:space="preserve">Term – Participating – Compound Reversionary Bonus</t>
  </si>
  <si>
    <t xml:space="preserve">MUHAMMAD FIKRI BIN NASIR</t>
  </si>
  <si>
    <t xml:space="preserve">SITI NURUL AIN BINTI RAHIM</t>
  </si>
  <si>
    <t xml:space="preserve">MUHAMMAD DANIAL BIN ZAKI</t>
  </si>
  <si>
    <t xml:space="preserve">NUR HAFIZAH BINTI ZULKIFLI</t>
  </si>
  <si>
    <t xml:space="preserve">AHMAD SYAMIL BIN RAHMAN</t>
  </si>
  <si>
    <t xml:space="preserve">NUR ADALIA BINTI HASSAN</t>
  </si>
  <si>
    <t xml:space="preserve">MUHAMMAD HAZIM BIN YUSOF</t>
  </si>
  <si>
    <t xml:space="preserve">SITI NUR AMIRAH BINTI RAZAK</t>
  </si>
  <si>
    <t xml:space="preserve">MUHAMMAD HARITH BIN ZULKIFLI</t>
  </si>
  <si>
    <t xml:space="preserve">NUR AFIQAH BINTI ZAIDI</t>
  </si>
  <si>
    <t xml:space="preserve">MUHAMMAD NAUFAL BIN RAHMAN</t>
  </si>
  <si>
    <t xml:space="preserve">NUR DANIA BINTI RAHMAN</t>
  </si>
  <si>
    <t xml:space="preserve">AHMAD SYAHMI BIN RAZALI</t>
  </si>
  <si>
    <t xml:space="preserve">NUR RAIHANA BINTI HISHAM</t>
  </si>
  <si>
    <t xml:space="preserve">MUHAMMAD AFIQ BIN ZUL</t>
  </si>
  <si>
    <t xml:space="preserve">NURUL HUDA BINTI RAHMAN</t>
  </si>
  <si>
    <t xml:space="preserve">AHMAD NAIM BIN AZIZ</t>
  </si>
  <si>
    <t xml:space="preserve">NUR AINUL SYAFIQAH BINTI RAHMAN</t>
  </si>
  <si>
    <t xml:space="preserve">MUHAMMAD ALIF BIN RAZALI</t>
  </si>
  <si>
    <t xml:space="preserve">NUR SYAHIDA BINTI AZMAN</t>
  </si>
  <si>
    <t xml:space="preserve">MUHAMMAD SHAHMI BIN AZIZ</t>
  </si>
  <si>
    <t xml:space="preserve">NURUL SYAFINA BINTI SHUKRI</t>
  </si>
  <si>
    <t xml:space="preserve">MUHAMMAD ASYRAF BIN ZAINAL</t>
  </si>
  <si>
    <t xml:space="preserve">NURUL IKMAL BINTI MUSTAFA</t>
  </si>
  <si>
    <t xml:space="preserve">MUHAMMAD AIMAN BIN ROSLI</t>
  </si>
  <si>
    <t xml:space="preserve">NUR DANIAH BINTI ZAKI</t>
  </si>
  <si>
    <t xml:space="preserve">MUHAMMAD FIRAS BIN NASIR</t>
  </si>
  <si>
    <t xml:space="preserve">NUR RAIHANAH BINTI SAAD</t>
  </si>
  <si>
    <t xml:space="preserve">MUHAMMAD FAHMI BIN ABDULLAH</t>
  </si>
  <si>
    <t xml:space="preserve">NUR FATIHAH BINTI MAHMOOD</t>
  </si>
  <si>
    <t xml:space="preserve">MUHAMMAD RAIHAN BIN SAAD</t>
  </si>
  <si>
    <t xml:space="preserve">SITI NURSYAMILAH BINTI RAHMAN</t>
  </si>
  <si>
    <t xml:space="preserve">MUHAMMAD ZAKWAN BIN ISMAIL</t>
  </si>
  <si>
    <t xml:space="preserve">SITI NURSYAHIRAH BINTI YUSOF</t>
  </si>
  <si>
    <t xml:space="preserve">MUHAMMAD FAREEZ BIN ABDUL HALIM</t>
  </si>
  <si>
    <t xml:space="preserve">SITI NURAIN BINTI AZIZ</t>
  </si>
  <si>
    <t xml:space="preserve">AHMAD FIRDAUS BIN RAHIM</t>
  </si>
  <si>
    <t xml:space="preserve">NURUL AFIFAH BINTI RAHMAN</t>
  </si>
  <si>
    <t xml:space="preserve">MUHAMMAD IQBAL BIN RAHMAN</t>
  </si>
  <si>
    <t xml:space="preserve">NUR AINUL MARDHIYAH BINTI KAMAL</t>
  </si>
  <si>
    <t xml:space="preserve">AHMAD DANIAL BIN KAMARUDDIN</t>
  </si>
  <si>
    <t xml:space="preserve">NUR AISYAH BINTI KHALID</t>
  </si>
  <si>
    <t xml:space="preserve">MUHAMMAD DANISH BIN ALI</t>
  </si>
  <si>
    <t xml:space="preserve">SITI NURFARHANA BINTI YAHYA</t>
  </si>
  <si>
    <t xml:space="preserve">MUHAMMAD HAFIZ BIN OSMAN</t>
  </si>
  <si>
    <t xml:space="preserve">SITI NURAINA BINTI RAMLI</t>
  </si>
  <si>
    <t xml:space="preserve">AHMAD FAIZ BIN YAHYA</t>
  </si>
  <si>
    <t xml:space="preserve">NUR ATHIRAH BINTI AZIZ</t>
  </si>
  <si>
    <t xml:space="preserve">MUHAMMAD RIZAL BIN SHUKRI</t>
  </si>
  <si>
    <t xml:space="preserve">NUR AINA BINTI RAZAK</t>
  </si>
  <si>
    <t xml:space="preserve">MUHAMMAD HAZREEN BIN JAMAL</t>
  </si>
  <si>
    <t xml:space="preserve">NURUL IZZAH BINTI ABDULLAH</t>
  </si>
  <si>
    <t xml:space="preserve">AMIRUL HAKIM BIN RAZAK</t>
  </si>
  <si>
    <t xml:space="preserve">NUR SYAFIQAH BINTI ALI</t>
  </si>
  <si>
    <t xml:space="preserve">AHMAD FARIS BIN ZAKARIA</t>
  </si>
  <si>
    <t xml:space="preserve">NUR AIN SOFEA BINTI ZAKARIA</t>
  </si>
  <si>
    <t xml:space="preserve">AHMAD RIZQI BIN HALIM</t>
  </si>
  <si>
    <t xml:space="preserve">NUR ADIBAH BINTI FAIZAL</t>
  </si>
  <si>
    <t xml:space="preserve">MUHAMMAD AKMAL BIN AZMAN</t>
  </si>
  <si>
    <t xml:space="preserve">SITI NURSYAZANA BINTI RAZALI</t>
  </si>
  <si>
    <t xml:space="preserve">AHMAD ZULHILMI BIN OMAR</t>
  </si>
  <si>
    <t xml:space="preserve">SITI AISYAH BINTI KAMAL</t>
  </si>
  <si>
    <t xml:space="preserve">AHMAD HAZIQ BIN RAHMAN</t>
  </si>
  <si>
    <t xml:space="preserve">NUR HAZIRAH BINTI HALIM</t>
  </si>
  <si>
    <t xml:space="preserve">AHMAD ZAFRAN BIN RAHMAN</t>
  </si>
  <si>
    <t xml:space="preserve">NUR IZZATI BINTI ROSLI</t>
  </si>
  <si>
    <t xml:space="preserve">AHMAD FIRDAUS BIN ISMAIL</t>
  </si>
  <si>
    <t xml:space="preserve">NUR FAREEHA BINTI ABDUL HALIM</t>
  </si>
  <si>
    <t xml:space="preserve">DANISH HAKIM BIN RAHMAN</t>
  </si>
  <si>
    <t xml:space="preserve">NUR ZAHRA BINTI RAHMAN</t>
  </si>
  <si>
    <t xml:space="preserve">MUHAMMAD HAKIM BIN ROSLAN</t>
  </si>
  <si>
    <t xml:space="preserve">SITI FATIHAH BINTI RAHIM</t>
  </si>
  <si>
    <t xml:space="preserve">MUHAMMAD AIZAT BIN RAHMAN</t>
  </si>
  <si>
    <t xml:space="preserve">SITI HANNAN BINTI AZHAR</t>
  </si>
  <si>
    <t xml:space="preserve">AHMAD DANISH BIN RAHIM</t>
  </si>
  <si>
    <t xml:space="preserve">NURUL AIN BINTI NASIR</t>
  </si>
  <si>
    <t xml:space="preserve">MUHAMMAD RIDZUAN BIN MAHMOOD</t>
  </si>
  <si>
    <t xml:space="preserve">NUR ALYA BINTI NASIR</t>
  </si>
  <si>
    <t xml:space="preserve">MUHAMMAD ADAM BIN HASSAN</t>
  </si>
  <si>
    <t xml:space="preserve">NUR AMIRAH BINTI ZULKARNAIN</t>
  </si>
  <si>
    <t xml:space="preserve">AHMAD HILMI BIN KAMAL</t>
  </si>
  <si>
    <t xml:space="preserve">NUR AMANINA BINTI JAMAL</t>
  </si>
  <si>
    <t xml:space="preserve">MUHAMMAD ARIF BIN SALLEH</t>
  </si>
  <si>
    <t xml:space="preserve">SITI NURFATIN BINTI ISMAIL</t>
  </si>
  <si>
    <t xml:space="preserve">MUHAMMAD ADIB BIN FAIZAL</t>
  </si>
  <si>
    <t xml:space="preserve">NUR AISYAH BINTI AZMAN</t>
  </si>
  <si>
    <t xml:space="preserve">MUHAMMAD AMIR BIN ZULKARNAIN</t>
  </si>
  <si>
    <t xml:space="preserve">NUR FARAHIN BINTI OSMAN</t>
  </si>
  <si>
    <t xml:space="preserve">MUHAMMAD FARHAN BIN KHALID</t>
  </si>
  <si>
    <t xml:space="preserve">SITI HAZIRAH BINTI AZIZ</t>
  </si>
  <si>
    <t xml:space="preserve">AHMAD ZIKRI BIN ISMAIL</t>
  </si>
  <si>
    <t xml:space="preserve">x</t>
  </si>
  <si>
    <t xml:space="preserve">qx</t>
  </si>
  <si>
    <t xml:space="preserve">Dx</t>
  </si>
  <si>
    <t xml:space="preserve">Nx</t>
  </si>
  <si>
    <t xml:space="preserve">Sx</t>
  </si>
  <si>
    <t xml:space="preserve">Cx</t>
  </si>
  <si>
    <t xml:space="preserve">Mx</t>
  </si>
  <si>
    <t xml:space="preserve">Rx</t>
  </si>
  <si>
    <t xml:space="preserve">Valuation Age at Issue DGI96</t>
  </si>
  <si>
    <t xml:space="preserve">APV of Benefit</t>
  </si>
  <si>
    <t xml:space="preserve">APV of Premium</t>
  </si>
  <si>
    <t xml:space="preserve">Net Premium</t>
  </si>
  <si>
    <t xml:space="preserve">Ax+1:n-1</t>
  </si>
  <si>
    <t xml:space="preserve">ax+1:h-1</t>
  </si>
  <si>
    <t xml:space="preserve">αF</t>
  </si>
  <si>
    <t xml:space="preserve">βF</t>
  </si>
  <si>
    <t xml:space="preserve">βZ</t>
  </si>
  <si>
    <t xml:space="preserve">min(βF,βZ)</t>
  </si>
  <si>
    <t xml:space="preserve">Ax+t:n-t</t>
  </si>
  <si>
    <t xml:space="preserve">ax+t:h-t</t>
  </si>
  <si>
    <t xml:space="preserve">Reserve at time t</t>
  </si>
  <si>
    <t xml:space="preserve">F</t>
  </si>
  <si>
    <t xml:space="preserve">None</t>
  </si>
  <si>
    <t xml:space="preserve">M</t>
  </si>
  <si>
    <t xml:space="preserve">CRB</t>
  </si>
  <si>
    <t xml:space="preserve">SRB</t>
  </si>
  <si>
    <t xml:space="preserve">N/A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</si>
</sst>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0%"/>
    <numFmt numFmtId="168" formatCode="#,##0.00"/>
    <numFmt numFmtId="169" formatCode="0%"/>
    <numFmt numFmtId="170" formatCode="0.00000"/>
    <numFmt numFmtId="171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17365D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672A8"/>
      </patternFill>
    </fill>
    <fill>
      <patternFill patternType="solid">
        <fgColor rgb="FFFFFFFF"/>
        <bgColor rgb="FFD9EAF7"/>
      </patternFill>
    </fill>
    <fill>
      <patternFill patternType="solid">
        <fgColor rgb="FFD9EAF7"/>
        <bgColor rgb="FFDCE6F2"/>
      </patternFill>
    </fill>
    <fill>
      <patternFill patternType="solid">
        <fgColor theme="0" tint="-0.25"/>
        <bgColor rgb="FFB7B7B7"/>
      </patternFill>
    </fill>
    <fill>
      <patternFill patternType="solid">
        <fgColor theme="4" tint="0.7999"/>
        <bgColor rgb="FFD9EAF7"/>
      </patternFill>
    </fill>
    <fill>
      <patternFill patternType="solid">
        <fgColor theme="5" tint="0.7999"/>
        <bgColor rgb="FFD9D9D9"/>
      </patternFill>
    </fill>
    <fill>
      <patternFill patternType="solid">
        <fgColor theme="2" tint="-0.1"/>
        <bgColor rgb="FFD9D9D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DDD9C3"/>
          <bgColor rgb="FF000000"/>
        </patternFill>
      </fill>
    </dxf>
    <dxf>
      <fill>
        <patternFill patternType="solid">
          <fgColor rgb="FFF2DC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3A9CE"/>
      <rgbColor rgb="FFAB4744"/>
      <rgbColor rgb="FFF2DCDB"/>
      <rgbColor rgb="FFD9EA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B8CD97"/>
      <rgbColor rgb="FFFFFF99"/>
      <rgbColor rgb="FFB7B7B7"/>
      <rgbColor rgb="FFD09493"/>
      <rgbColor rgb="FFCC99FF"/>
      <rgbColor rgb="FFDDD9C3"/>
      <rgbColor rgb="FF2F75B5"/>
      <rgbColor rgb="FF33CCCC"/>
      <rgbColor rgb="FF70AD47"/>
      <rgbColor rgb="FFFFCC00"/>
      <rgbColor rgb="FFFF9900"/>
      <rgbColor rgb="FFFF6600"/>
      <rgbColor rgb="FF725990"/>
      <rgbColor rgb="FF8AA64F"/>
      <rgbColor rgb="FF17365D"/>
      <rgbColor rgb="FF4299B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Policyholders by Policy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Policyholders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Dashboard!$A$12:$A$20</c:f>
              <c:strCache>
                <c:ptCount val="9"/>
                <c:pt idx="0">
                  <c:v>WNP</c:v>
                </c:pt>
                <c:pt idx="1">
                  <c:v>WPS</c:v>
                </c:pt>
                <c:pt idx="2">
                  <c:v>WPC</c:v>
                </c:pt>
                <c:pt idx="3">
                  <c:v>ENP</c:v>
                </c:pt>
                <c:pt idx="4">
                  <c:v>EPS</c:v>
                </c:pt>
                <c:pt idx="5">
                  <c:v>EPC</c:v>
                </c:pt>
                <c:pt idx="6">
                  <c:v>TNP</c:v>
                </c:pt>
                <c:pt idx="7">
                  <c:v>TPS</c:v>
                </c:pt>
                <c:pt idx="8">
                  <c:v>TPC</c:v>
                </c:pt>
              </c:strCache>
            </c:strRef>
          </c:cat>
          <c:val>
            <c:numRef>
              <c:f>Dashboard!$B$12:$B$20</c:f>
              <c:numCache>
                <c:formatCode>General</c:formatCode>
                <c:ptCount val="9"/>
                <c:pt idx="0">
                  <c:v>14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18</c:v>
                </c:pt>
                <c:pt idx="5">
                  <c:v>11</c:v>
                </c:pt>
                <c:pt idx="6">
                  <c:v>12</c:v>
                </c:pt>
                <c:pt idx="7">
                  <c:v>6</c:v>
                </c:pt>
                <c:pt idx="8">
                  <c:v>10</c:v>
                </c:pt>
              </c:numCache>
            </c:numRef>
          </c:val>
        </c:ser>
        <c:gapWidth val="150"/>
        <c:overlap val="0"/>
        <c:axId val="73135927"/>
        <c:axId val="35716763"/>
      </c:barChart>
      <c:catAx>
        <c:axId val="73135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Policy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716763"/>
        <c:crosses val="autoZero"/>
        <c:auto val="1"/>
        <c:lblAlgn val="ctr"/>
        <c:lblOffset val="100"/>
        <c:noMultiLvlLbl val="0"/>
      </c:catAx>
      <c:valAx>
        <c:axId val="35716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Policyholders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35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Portfolio Mix by Policy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Dashboard!B11</c:f>
              <c:strCache>
                <c:ptCount val="1"/>
                <c:pt idx="0">
                  <c:v>Policyholders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Dashboard!$A$12:$A$20</c:f>
              <c:strCache>
                <c:ptCount val="9"/>
                <c:pt idx="0">
                  <c:v>WNP</c:v>
                </c:pt>
                <c:pt idx="1">
                  <c:v>WPS</c:v>
                </c:pt>
                <c:pt idx="2">
                  <c:v>WPC</c:v>
                </c:pt>
                <c:pt idx="3">
                  <c:v>ENP</c:v>
                </c:pt>
                <c:pt idx="4">
                  <c:v>EPS</c:v>
                </c:pt>
                <c:pt idx="5">
                  <c:v>EPC</c:v>
                </c:pt>
                <c:pt idx="6">
                  <c:v>TNP</c:v>
                </c:pt>
                <c:pt idx="7">
                  <c:v>TPS</c:v>
                </c:pt>
                <c:pt idx="8">
                  <c:v>TPC</c:v>
                </c:pt>
              </c:strCache>
            </c:strRef>
          </c:cat>
          <c:val>
            <c:numRef>
              <c:f>Dashboard!$B$12:$B$20</c:f>
              <c:numCache>
                <c:formatCode>General</c:formatCode>
                <c:ptCount val="9"/>
                <c:pt idx="0">
                  <c:v>14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18</c:v>
                </c:pt>
                <c:pt idx="5">
                  <c:v>11</c:v>
                </c:pt>
                <c:pt idx="6">
                  <c:v>12</c:v>
                </c:pt>
                <c:pt idx="7">
                  <c:v>6</c:v>
                </c:pt>
                <c:pt idx="8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71280</xdr:rowOff>
    </xdr:from>
    <xdr:to>
      <xdr:col>9</xdr:col>
      <xdr:colOff>90360</xdr:colOff>
      <xdr:row>22</xdr:row>
      <xdr:rowOff>114480</xdr:rowOff>
    </xdr:to>
    <xdr:graphicFrame>
      <xdr:nvGraphicFramePr>
        <xdr:cNvPr id="0" name="Chart 1"/>
        <xdr:cNvGraphicFramePr/>
      </xdr:nvGraphicFramePr>
      <xdr:xfrm>
        <a:off x="6061680" y="20955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70920</xdr:rowOff>
    </xdr:from>
    <xdr:to>
      <xdr:col>8</xdr:col>
      <xdr:colOff>427680</xdr:colOff>
      <xdr:row>37</xdr:row>
      <xdr:rowOff>114120</xdr:rowOff>
    </xdr:to>
    <xdr:graphicFrame>
      <xdr:nvGraphicFramePr>
        <xdr:cNvPr id="1" name="Chart 2"/>
        <xdr:cNvGraphicFramePr/>
      </xdr:nvGraphicFramePr>
      <xdr:xfrm>
        <a:off x="6061680" y="49528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28.3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  <c r="G11" s="3"/>
      <c r="H11" s="3"/>
    </row>
    <row r="12" customFormat="false" ht="28.35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2" t="s">
        <v>23</v>
      </c>
      <c r="B14" s="3" t="s">
        <v>24</v>
      </c>
      <c r="C14" s="3"/>
      <c r="D14" s="3"/>
      <c r="E14" s="3"/>
      <c r="F14" s="3"/>
      <c r="G14" s="3"/>
      <c r="H14" s="3"/>
    </row>
  </sheetData>
  <mergeCells count="13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4"/>
    <col collapsed="false" customWidth="true" hidden="false" outlineLevel="0" max="10" min="6" style="0" width="15"/>
  </cols>
  <sheetData>
    <row r="1" customFormat="false" ht="30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4" t="s">
        <v>26</v>
      </c>
      <c r="B3" s="4"/>
      <c r="D3" s="4" t="s">
        <v>27</v>
      </c>
      <c r="E3" s="4"/>
      <c r="G3" s="4" t="s">
        <v>28</v>
      </c>
      <c r="H3" s="4"/>
    </row>
    <row r="4" customFormat="false" ht="19.7" hidden="false" customHeight="false" outlineLevel="0" collapsed="false">
      <c r="A4" s="5" t="n">
        <f aca="false">COUNTA('Policyholder Data'!$A$2:$A$110)</f>
        <v>109</v>
      </c>
      <c r="B4" s="5"/>
      <c r="D4" s="5" t="n">
        <f aca="false">COUNTA('Pricing Analysis'!$A$4:$A$12)</f>
        <v>9</v>
      </c>
      <c r="E4" s="5"/>
      <c r="G4" s="6" t="n">
        <f aca="false">SUM('Policyholder Data'!$G$2:$G$110)</f>
        <v>11745000</v>
      </c>
      <c r="H4" s="6"/>
    </row>
    <row r="7" customFormat="false" ht="15" hidden="false" customHeight="false" outlineLevel="0" collapsed="false">
      <c r="A7" s="4" t="s">
        <v>29</v>
      </c>
      <c r="B7" s="4"/>
      <c r="D7" s="4" t="s">
        <v>30</v>
      </c>
      <c r="E7" s="4"/>
      <c r="G7" s="4" t="s">
        <v>31</v>
      </c>
      <c r="H7" s="4"/>
    </row>
    <row r="8" customFormat="false" ht="19.7" hidden="false" customHeight="false" outlineLevel="0" collapsed="false">
      <c r="A8" s="7" t="n">
        <f aca="false">IFERROR(AVERAGE('Policyholder Data'!$O$2:$O$110),0)</f>
        <v>0.0645277745697256</v>
      </c>
      <c r="B8" s="7"/>
      <c r="D8" s="8" t="n">
        <f aca="false">SUM('Policyholder Data'!$X$2:$X$110)</f>
        <v>2978926.95226461</v>
      </c>
      <c r="E8" s="8"/>
      <c r="G8" s="5" t="n">
        <f aca="false">COUNTIF('Policyholder Data'!$I$2:$I$110,"&lt;&gt;None")</f>
        <v>69</v>
      </c>
      <c r="H8" s="5"/>
    </row>
    <row r="11" customFormat="false" ht="15" hidden="false" customHeight="false" outlineLevel="0" collapsed="false">
      <c r="A11" s="9" t="s">
        <v>32</v>
      </c>
      <c r="B11" s="9" t="s">
        <v>26</v>
      </c>
      <c r="C11" s="9" t="s">
        <v>33</v>
      </c>
      <c r="D11" s="9" t="s">
        <v>34</v>
      </c>
    </row>
    <row r="12" customFormat="false" ht="15" hidden="false" customHeight="false" outlineLevel="0" collapsed="false">
      <c r="A12" s="0" t="s">
        <v>35</v>
      </c>
      <c r="B12" s="0" t="n">
        <f aca="false">'Pricing Analysis'!B4</f>
        <v>14</v>
      </c>
      <c r="C12" s="10" t="n">
        <f aca="false">'Pricing Analysis'!D4</f>
        <v>0.0286848696056117</v>
      </c>
      <c r="D12" s="11" t="n">
        <f aca="false">'Reserve Analysis'!D4</f>
        <v>9476.09287324867</v>
      </c>
    </row>
    <row r="13" customFormat="false" ht="15" hidden="false" customHeight="false" outlineLevel="0" collapsed="false">
      <c r="A13" s="0" t="s">
        <v>36</v>
      </c>
      <c r="B13" s="0" t="n">
        <f aca="false">'Pricing Analysis'!B5</f>
        <v>11</v>
      </c>
      <c r="C13" s="10" t="n">
        <f aca="false">'Pricing Analysis'!D5</f>
        <v>0.0288836074875823</v>
      </c>
      <c r="D13" s="11" t="n">
        <f aca="false">'Reserve Analysis'!D5</f>
        <v>22609.7719018717</v>
      </c>
    </row>
    <row r="14" customFormat="false" ht="15" hidden="false" customHeight="false" outlineLevel="0" collapsed="false">
      <c r="A14" s="0" t="s">
        <v>37</v>
      </c>
      <c r="B14" s="0" t="n">
        <f aca="false">'Pricing Analysis'!B6</f>
        <v>13</v>
      </c>
      <c r="C14" s="10" t="n">
        <f aca="false">'Pricing Analysis'!D6</f>
        <v>0.0413361327592195</v>
      </c>
      <c r="D14" s="11" t="n">
        <f aca="false">'Reserve Analysis'!D6</f>
        <v>25541.2219341811</v>
      </c>
    </row>
    <row r="15" customFormat="false" ht="15" hidden="false" customHeight="false" outlineLevel="0" collapsed="false">
      <c r="A15" s="0" t="s">
        <v>38</v>
      </c>
      <c r="B15" s="0" t="n">
        <f aca="false">'Pricing Analysis'!B7</f>
        <v>14</v>
      </c>
      <c r="C15" s="10" t="n">
        <f aca="false">'Pricing Analysis'!D7</f>
        <v>0.134803509240102</v>
      </c>
      <c r="D15" s="11" t="n">
        <f aca="false">'Reserve Analysis'!D7</f>
        <v>1569.75647494154</v>
      </c>
    </row>
    <row r="16" customFormat="false" ht="15" hidden="false" customHeight="false" outlineLevel="0" collapsed="false">
      <c r="A16" s="0" t="s">
        <v>39</v>
      </c>
      <c r="B16" s="0" t="n">
        <f aca="false">'Pricing Analysis'!B8</f>
        <v>18</v>
      </c>
      <c r="C16" s="10" t="n">
        <f aca="false">'Pricing Analysis'!D8</f>
        <v>0.123342185256747</v>
      </c>
      <c r="D16" s="11" t="n">
        <f aca="false">'Reserve Analysis'!D8</f>
        <v>5201.1918813183</v>
      </c>
    </row>
    <row r="17" customFormat="false" ht="15" hidden="false" customHeight="false" outlineLevel="0" collapsed="false">
      <c r="A17" s="0" t="s">
        <v>40</v>
      </c>
      <c r="B17" s="0" t="n">
        <f aca="false">'Pricing Analysis'!B9</f>
        <v>11</v>
      </c>
      <c r="C17" s="10" t="n">
        <f aca="false">'Pricing Analysis'!D9</f>
        <v>0.120735471818035</v>
      </c>
      <c r="D17" s="11" t="n">
        <f aca="false">'Reserve Analysis'!D9</f>
        <v>3985.51096829921</v>
      </c>
    </row>
    <row r="18" customFormat="false" ht="15" hidden="false" customHeight="false" outlineLevel="0" collapsed="false">
      <c r="A18" s="0" t="s">
        <v>41</v>
      </c>
      <c r="B18" s="0" t="n">
        <f aca="false">'Pricing Analysis'!B10</f>
        <v>12</v>
      </c>
      <c r="C18" s="10" t="n">
        <f aca="false">'Pricing Analysis'!D10</f>
        <v>0.0156438972876075</v>
      </c>
      <c r="D18" s="11" t="n">
        <f aca="false">'Reserve Analysis'!D10</f>
        <v>75939.4335526994</v>
      </c>
    </row>
    <row r="19" customFormat="false" ht="15" hidden="false" customHeight="false" outlineLevel="0" collapsed="false">
      <c r="A19" s="0" t="s">
        <v>42</v>
      </c>
      <c r="B19" s="0" t="n">
        <f aca="false">'Pricing Analysis'!B11</f>
        <v>6</v>
      </c>
      <c r="C19" s="10" t="n">
        <f aca="false">'Pricing Analysis'!D11</f>
        <v>0.0155309258960614</v>
      </c>
      <c r="D19" s="11" t="n">
        <f aca="false">'Reserve Analysis'!D11</f>
        <v>90357.0265578107</v>
      </c>
    </row>
    <row r="20" customFormat="false" ht="15" hidden="false" customHeight="false" outlineLevel="0" collapsed="false">
      <c r="A20" s="0" t="s">
        <v>43</v>
      </c>
      <c r="B20" s="0" t="n">
        <f aca="false">'Pricing Analysis'!B12</f>
        <v>10</v>
      </c>
      <c r="C20" s="10" t="n">
        <f aca="false">'Pricing Analysis'!D12</f>
        <v>0.00604388685793475</v>
      </c>
      <c r="D20" s="11" t="n">
        <f aca="false">'Reserve Analysis'!D12</f>
        <v>65266.4248830723</v>
      </c>
    </row>
  </sheetData>
  <mergeCells count="13">
    <mergeCell ref="A1:J1"/>
    <mergeCell ref="A3:B3"/>
    <mergeCell ref="D3:E3"/>
    <mergeCell ref="G3:H3"/>
    <mergeCell ref="A4:B4"/>
    <mergeCell ref="D4:E4"/>
    <mergeCell ref="G4:H4"/>
    <mergeCell ref="A7:B7"/>
    <mergeCell ref="D7:E7"/>
    <mergeCell ref="G7:H7"/>
    <mergeCell ref="A8:B8"/>
    <mergeCell ref="D8:E8"/>
    <mergeCell ref="G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6" min="4" style="0" width="25"/>
  </cols>
  <sheetData>
    <row r="1" customFormat="false" ht="30" hidden="false" customHeight="true" outlineLevel="0" collapsed="false">
      <c r="A1" s="1" t="s">
        <v>44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32</v>
      </c>
      <c r="B3" s="9" t="s">
        <v>26</v>
      </c>
      <c r="C3" s="9" t="s">
        <v>28</v>
      </c>
      <c r="D3" s="9" t="s">
        <v>29</v>
      </c>
      <c r="E3" s="9" t="s">
        <v>45</v>
      </c>
      <c r="F3" s="9" t="s">
        <v>46</v>
      </c>
    </row>
    <row r="4" customFormat="false" ht="15" hidden="false" customHeight="false" outlineLevel="0" collapsed="false">
      <c r="A4" s="0" t="s">
        <v>35</v>
      </c>
      <c r="B4" s="0" t="n">
        <f aca="false">COUNTIF('Policyholder Data'!$E$2:$E$110,A4)</f>
        <v>14</v>
      </c>
      <c r="C4" s="12" t="n">
        <f aca="false">SUMIF('Policyholder Data'!$E$2:$E$110,A4,'Policyholder Data'!$G$2:$G$110)</f>
        <v>1675000</v>
      </c>
      <c r="D4" s="10" t="n">
        <f aca="false">IFERROR(AVERAGEIF('Policyholder Data'!$E$2:$E$110,A4,'Policyholder Data'!$O$2:$O$110),0)</f>
        <v>0.0286848696056117</v>
      </c>
      <c r="E4" s="10" t="n">
        <v>0.0100160672623802</v>
      </c>
      <c r="F4" s="10" t="n">
        <v>0.0654382450802008</v>
      </c>
    </row>
    <row r="5" customFormat="false" ht="15" hidden="false" customHeight="false" outlineLevel="0" collapsed="false">
      <c r="A5" s="0" t="s">
        <v>36</v>
      </c>
      <c r="B5" s="0" t="n">
        <f aca="false">COUNTIF('Policyholder Data'!$E$2:$E$110,A5)</f>
        <v>11</v>
      </c>
      <c r="C5" s="12" t="n">
        <f aca="false">SUMIF('Policyholder Data'!$E$2:$E$110,A5,'Policyholder Data'!$G$2:$G$110)</f>
        <v>1140000</v>
      </c>
      <c r="D5" s="10" t="n">
        <f aca="false">IFERROR(AVERAGEIF('Policyholder Data'!$E$2:$E$110,A5,'Policyholder Data'!$O$2:$O$110),0)</f>
        <v>0.0288836074875823</v>
      </c>
      <c r="E5" s="10" t="n">
        <v>0.0112587027276591</v>
      </c>
      <c r="F5" s="10" t="n">
        <v>0.0721523069045087</v>
      </c>
    </row>
    <row r="6" customFormat="false" ht="15" hidden="false" customHeight="false" outlineLevel="0" collapsed="false">
      <c r="A6" s="0" t="s">
        <v>37</v>
      </c>
      <c r="B6" s="0" t="n">
        <f aca="false">COUNTIF('Policyholder Data'!$E$2:$E$110,A6)</f>
        <v>13</v>
      </c>
      <c r="C6" s="12" t="n">
        <f aca="false">SUMIF('Policyholder Data'!$E$2:$E$110,A6,'Policyholder Data'!$G$2:$G$110)</f>
        <v>1365000</v>
      </c>
      <c r="D6" s="10" t="n">
        <f aca="false">IFERROR(AVERAGEIF('Policyholder Data'!$E$2:$E$110,A6,'Policyholder Data'!$O$2:$O$110),0)</f>
        <v>0.0413361327592195</v>
      </c>
      <c r="E6" s="10" t="n">
        <v>0.0106030136965818</v>
      </c>
      <c r="F6" s="10" t="n">
        <v>0.0844271520490006</v>
      </c>
    </row>
    <row r="7" customFormat="false" ht="15" hidden="false" customHeight="false" outlineLevel="0" collapsed="false">
      <c r="A7" s="0" t="s">
        <v>38</v>
      </c>
      <c r="B7" s="0" t="n">
        <f aca="false">COUNTIF('Policyholder Data'!$E$2:$E$110,A7)</f>
        <v>14</v>
      </c>
      <c r="C7" s="12" t="n">
        <f aca="false">SUMIF('Policyholder Data'!$E$2:$E$110,A7,'Policyholder Data'!$G$2:$G$110)</f>
        <v>1445000</v>
      </c>
      <c r="D7" s="10" t="n">
        <f aca="false">IFERROR(AVERAGEIF('Policyholder Data'!$E$2:$E$110,A7,'Policyholder Data'!$O$2:$O$110),0)</f>
        <v>0.134803509240102</v>
      </c>
      <c r="E7" s="10" t="n">
        <v>0.0295291446740522</v>
      </c>
      <c r="F7" s="10" t="n">
        <v>0.285662319097181</v>
      </c>
    </row>
    <row r="8" customFormat="false" ht="15" hidden="false" customHeight="false" outlineLevel="0" collapsed="false">
      <c r="A8" s="0" t="s">
        <v>39</v>
      </c>
      <c r="B8" s="0" t="n">
        <f aca="false">COUNTIF('Policyholder Data'!$E$2:$E$110,A8)</f>
        <v>18</v>
      </c>
      <c r="C8" s="12" t="n">
        <f aca="false">SUMIF('Policyholder Data'!$E$2:$E$110,A8,'Policyholder Data'!$G$2:$G$110)</f>
        <v>2025000</v>
      </c>
      <c r="D8" s="10" t="n">
        <f aca="false">IFERROR(AVERAGEIF('Policyholder Data'!$E$2:$E$110,A8,'Policyholder Data'!$O$2:$O$110),0)</f>
        <v>0.123342185256747</v>
      </c>
      <c r="E8" s="10" t="n">
        <v>0.0279870898160715</v>
      </c>
      <c r="F8" s="10" t="n">
        <v>0.289434089155198</v>
      </c>
    </row>
    <row r="9" customFormat="false" ht="15" hidden="false" customHeight="false" outlineLevel="0" collapsed="false">
      <c r="A9" s="0" t="s">
        <v>40</v>
      </c>
      <c r="B9" s="0" t="n">
        <f aca="false">COUNTIF('Policyholder Data'!$E$2:$E$110,A9)</f>
        <v>11</v>
      </c>
      <c r="C9" s="12" t="n">
        <f aca="false">SUMIF('Policyholder Data'!$E$2:$E$110,A9,'Policyholder Data'!$G$2:$G$110)</f>
        <v>1175000</v>
      </c>
      <c r="D9" s="10" t="n">
        <f aca="false">IFERROR(AVERAGEIF('Policyholder Data'!$E$2:$E$110,A9,'Policyholder Data'!$O$2:$O$110),0)</f>
        <v>0.120735471818035</v>
      </c>
      <c r="E9" s="10" t="n">
        <v>0.0278981209872251</v>
      </c>
      <c r="F9" s="10" t="n">
        <v>0.286244524642784</v>
      </c>
    </row>
    <row r="10" customFormat="false" ht="15" hidden="false" customHeight="false" outlineLevel="0" collapsed="false">
      <c r="A10" s="0" t="s">
        <v>41</v>
      </c>
      <c r="B10" s="0" t="n">
        <f aca="false">COUNTIF('Policyholder Data'!$E$2:$E$110,A10)</f>
        <v>12</v>
      </c>
      <c r="C10" s="12" t="n">
        <f aca="false">SUMIF('Policyholder Data'!$E$2:$E$110,A10,'Policyholder Data'!$G$2:$G$110)</f>
        <v>1350000</v>
      </c>
      <c r="D10" s="10" t="n">
        <f aca="false">IFERROR(AVERAGEIF('Policyholder Data'!$E$2:$E$110,A10,'Policyholder Data'!$O$2:$O$110),0)</f>
        <v>0.0156438972876075</v>
      </c>
      <c r="E10" s="10" t="n">
        <v>0.00223654569084516</v>
      </c>
      <c r="F10" s="10" t="n">
        <v>0.0956249698361426</v>
      </c>
    </row>
    <row r="11" customFormat="false" ht="15" hidden="false" customHeight="false" outlineLevel="0" collapsed="false">
      <c r="A11" s="0" t="s">
        <v>42</v>
      </c>
      <c r="B11" s="0" t="n">
        <f aca="false">COUNTIF('Policyholder Data'!$E$2:$E$110,A11)</f>
        <v>6</v>
      </c>
      <c r="C11" s="12" t="n">
        <f aca="false">SUMIF('Policyholder Data'!$E$2:$E$110,A11,'Policyholder Data'!$G$2:$G$110)</f>
        <v>680000</v>
      </c>
      <c r="D11" s="10" t="n">
        <f aca="false">IFERROR(AVERAGEIF('Policyholder Data'!$E$2:$E$110,A11,'Policyholder Data'!$O$2:$O$110),0)</f>
        <v>0.0155309258960614</v>
      </c>
      <c r="E11" s="10" t="n">
        <v>0.00236878897559214</v>
      </c>
      <c r="F11" s="10" t="n">
        <v>0.0362424307469981</v>
      </c>
    </row>
    <row r="12" customFormat="false" ht="15" hidden="false" customHeight="false" outlineLevel="0" collapsed="false">
      <c r="A12" s="0" t="s">
        <v>43</v>
      </c>
      <c r="B12" s="0" t="n">
        <f aca="false">COUNTIF('Policyholder Data'!$E$2:$E$110,A12)</f>
        <v>10</v>
      </c>
      <c r="C12" s="12" t="n">
        <f aca="false">SUMIF('Policyholder Data'!$E$2:$E$110,A12,'Policyholder Data'!$G$2:$G$110)</f>
        <v>890000</v>
      </c>
      <c r="D12" s="10" t="n">
        <f aca="false">IFERROR(AVERAGEIF('Policyholder Data'!$E$2:$E$110,A12,'Policyholder Data'!$O$2:$O$110),0)</f>
        <v>0.00604388685793475</v>
      </c>
      <c r="E12" s="10" t="n">
        <v>0.00258868709321914</v>
      </c>
      <c r="F12" s="10" t="n">
        <v>0.0179736830067072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5" min="3" style="0" width="20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</row>
    <row r="3" customFormat="false" ht="15" hidden="false" customHeight="false" outlineLevel="0" collapsed="false">
      <c r="A3" s="9" t="s">
        <v>32</v>
      </c>
      <c r="B3" s="9" t="s">
        <v>26</v>
      </c>
      <c r="C3" s="9" t="s">
        <v>48</v>
      </c>
      <c r="D3" s="9" t="s">
        <v>34</v>
      </c>
      <c r="E3" s="9" t="s">
        <v>49</v>
      </c>
    </row>
    <row r="4" customFormat="false" ht="15" hidden="false" customHeight="false" outlineLevel="0" collapsed="false">
      <c r="A4" s="0" t="s">
        <v>35</v>
      </c>
      <c r="B4" s="0" t="n">
        <f aca="false">COUNTIF('Policyholder Data'!$E$2:$E$110,A4)</f>
        <v>14</v>
      </c>
      <c r="C4" s="11" t="n">
        <f aca="false">SUMIF('Policyholder Data'!$E$2:$E$110,A4,'Policyholder Data'!$X$2:$X$110)</f>
        <v>132665.300225481</v>
      </c>
      <c r="D4" s="11" t="n">
        <f aca="false">IFERROR(AVERAGEIF('Policyholder Data'!$E$2:$E$110,A4,'Policyholder Data'!$X$2:$X$110),0)</f>
        <v>9476.09287324867</v>
      </c>
      <c r="E4" s="11" t="n">
        <v>25291.0157961368</v>
      </c>
    </row>
    <row r="5" customFormat="false" ht="15" hidden="false" customHeight="false" outlineLevel="0" collapsed="false">
      <c r="A5" s="0" t="s">
        <v>36</v>
      </c>
      <c r="B5" s="0" t="n">
        <f aca="false">COUNTIF('Policyholder Data'!$E$2:$E$110,A5)</f>
        <v>11</v>
      </c>
      <c r="C5" s="11" t="n">
        <f aca="false">SUMIF('Policyholder Data'!$E$2:$E$110,A5,'Policyholder Data'!$X$2:$X$110)</f>
        <v>248707.490920589</v>
      </c>
      <c r="D5" s="11" t="n">
        <f aca="false">IFERROR(AVERAGEIF('Policyholder Data'!$E$2:$E$110,A5,'Policyholder Data'!$X$2:$X$110),0)</f>
        <v>22609.7719018717</v>
      </c>
      <c r="E5" s="11" t="n">
        <v>73013.5993787712</v>
      </c>
    </row>
    <row r="6" customFormat="false" ht="15" hidden="false" customHeight="false" outlineLevel="0" collapsed="false">
      <c r="A6" s="0" t="s">
        <v>37</v>
      </c>
      <c r="B6" s="0" t="n">
        <f aca="false">COUNTIF('Policyholder Data'!$E$2:$E$110,A6)</f>
        <v>13</v>
      </c>
      <c r="C6" s="11" t="n">
        <f aca="false">SUMIF('Policyholder Data'!$E$2:$E$110,A6,'Policyholder Data'!$X$2:$X$110)</f>
        <v>332035.885144355</v>
      </c>
      <c r="D6" s="11" t="n">
        <f aca="false">IFERROR(AVERAGEIF('Policyholder Data'!$E$2:$E$110,A6,'Policyholder Data'!$X$2:$X$110),0)</f>
        <v>25541.2219341811</v>
      </c>
      <c r="E6" s="11" t="n">
        <v>49289.4060766518</v>
      </c>
    </row>
    <row r="7" customFormat="false" ht="15" hidden="false" customHeight="false" outlineLevel="0" collapsed="false">
      <c r="A7" s="0" t="s">
        <v>38</v>
      </c>
      <c r="B7" s="0" t="n">
        <f aca="false">COUNTIF('Policyholder Data'!$E$2:$E$110,A7)</f>
        <v>14</v>
      </c>
      <c r="C7" s="11" t="n">
        <f aca="false">SUMIF('Policyholder Data'!$E$2:$E$110,A7,'Policyholder Data'!$X$2:$X$110)</f>
        <v>21976.5906491816</v>
      </c>
      <c r="D7" s="11" t="n">
        <f aca="false">IFERROR(AVERAGEIF('Policyholder Data'!$E$2:$E$110,A7,'Policyholder Data'!$X$2:$X$110),0)</f>
        <v>1569.75647494154</v>
      </c>
      <c r="E7" s="11" t="n">
        <v>5563.22425863035</v>
      </c>
    </row>
    <row r="8" customFormat="false" ht="15" hidden="false" customHeight="false" outlineLevel="0" collapsed="false">
      <c r="A8" s="0" t="s">
        <v>39</v>
      </c>
      <c r="B8" s="0" t="n">
        <f aca="false">COUNTIF('Policyholder Data'!$E$2:$E$110,A8)</f>
        <v>18</v>
      </c>
      <c r="C8" s="11" t="n">
        <f aca="false">SUMIF('Policyholder Data'!$E$2:$E$110,A8,'Policyholder Data'!$X$2:$X$110)</f>
        <v>93621.4538637293</v>
      </c>
      <c r="D8" s="11" t="n">
        <f aca="false">IFERROR(AVERAGEIF('Policyholder Data'!$E$2:$E$110,A8,'Policyholder Data'!$X$2:$X$110),0)</f>
        <v>5201.1918813183</v>
      </c>
      <c r="E8" s="11" t="n">
        <v>26818.2762507847</v>
      </c>
    </row>
    <row r="9" customFormat="false" ht="15" hidden="false" customHeight="false" outlineLevel="0" collapsed="false">
      <c r="A9" s="0" t="s">
        <v>40</v>
      </c>
      <c r="B9" s="0" t="n">
        <f aca="false">COUNTIF('Policyholder Data'!$E$2:$E$110,A9)</f>
        <v>11</v>
      </c>
      <c r="C9" s="11" t="n">
        <f aca="false">SUMIF('Policyholder Data'!$E$2:$E$110,A9,'Policyholder Data'!$X$2:$X$110)</f>
        <v>43840.6206512913</v>
      </c>
      <c r="D9" s="11" t="n">
        <f aca="false">IFERROR(AVERAGEIF('Policyholder Data'!$E$2:$E$110,A9,'Policyholder Data'!$X$2:$X$110),0)</f>
        <v>3985.51096829921</v>
      </c>
      <c r="E9" s="11" t="n">
        <v>15658.2333102354</v>
      </c>
    </row>
    <row r="10" customFormat="false" ht="15" hidden="false" customHeight="false" outlineLevel="0" collapsed="false">
      <c r="A10" s="0" t="s">
        <v>41</v>
      </c>
      <c r="B10" s="0" t="n">
        <f aca="false">COUNTIF('Policyholder Data'!$E$2:$E$110,A10)</f>
        <v>12</v>
      </c>
      <c r="C10" s="11" t="n">
        <f aca="false">SUMIF('Policyholder Data'!$E$2:$E$110,A10,'Policyholder Data'!$X$2:$X$110)</f>
        <v>911273.202632393</v>
      </c>
      <c r="D10" s="11" t="n">
        <f aca="false">IFERROR(AVERAGEIF('Policyholder Data'!$E$2:$E$110,A10,'Policyholder Data'!$X$2:$X$110),0)</f>
        <v>75939.4335526994</v>
      </c>
      <c r="E10" s="11" t="n">
        <v>144440.824380866</v>
      </c>
    </row>
    <row r="11" customFormat="false" ht="15" hidden="false" customHeight="false" outlineLevel="0" collapsed="false">
      <c r="A11" s="0" t="s">
        <v>42</v>
      </c>
      <c r="B11" s="0" t="n">
        <f aca="false">COUNTIF('Policyholder Data'!$E$2:$E$110,A11)</f>
        <v>6</v>
      </c>
      <c r="C11" s="11" t="n">
        <f aca="false">SUMIF('Policyholder Data'!$E$2:$E$110,A11,'Policyholder Data'!$X$2:$X$110)</f>
        <v>542142.159346864</v>
      </c>
      <c r="D11" s="11" t="n">
        <f aca="false">IFERROR(AVERAGEIF('Policyholder Data'!$E$2:$E$110,A11,'Policyholder Data'!$X$2:$X$110),0)</f>
        <v>90357.0265578107</v>
      </c>
      <c r="E11" s="11" t="n">
        <v>131700.358345667</v>
      </c>
    </row>
    <row r="12" customFormat="false" ht="15" hidden="false" customHeight="false" outlineLevel="0" collapsed="false">
      <c r="A12" s="0" t="s">
        <v>43</v>
      </c>
      <c r="B12" s="0" t="n">
        <f aca="false">COUNTIF('Policyholder Data'!$E$2:$E$110,A12)</f>
        <v>10</v>
      </c>
      <c r="C12" s="11" t="n">
        <f aca="false">SUMIF('Policyholder Data'!$E$2:$E$110,A12,'Policyholder Data'!$X$2:$X$110)</f>
        <v>652664.248830723</v>
      </c>
      <c r="D12" s="11" t="n">
        <f aca="false">IFERROR(AVERAGEIF('Policyholder Data'!$E$2:$E$110,A12,'Policyholder Data'!$X$2:$X$110),0)</f>
        <v>65266.4248830723</v>
      </c>
      <c r="E12" s="11" t="n">
        <v>164035.955451934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4"/>
  </cols>
  <sheetData>
    <row r="1" customFormat="false" ht="30" hidden="false" customHeight="true" outlineLevel="0" collapsed="false">
      <c r="A1" s="1" t="s">
        <v>50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0" t="s">
        <v>51</v>
      </c>
      <c r="B3" s="0" t="s">
        <v>38</v>
      </c>
    </row>
    <row r="4" customFormat="false" ht="15" hidden="false" customHeight="false" outlineLevel="0" collapsed="false">
      <c r="A4" s="0" t="s">
        <v>52</v>
      </c>
      <c r="B4" s="10" t="n">
        <f aca="false">IFERROR(INDEX('Pricing Analysis'!$D$4:$D$12,MATCH(B3,'Pricing Analysis'!$A$4:$A$12,0)),0)</f>
        <v>0.134803509240102</v>
      </c>
    </row>
    <row r="6" customFormat="false" ht="15" hidden="false" customHeight="false" outlineLevel="0" collapsed="false">
      <c r="A6" s="9" t="s">
        <v>53</v>
      </c>
      <c r="B6" s="9" t="s">
        <v>54</v>
      </c>
      <c r="C6" s="9" t="s">
        <v>55</v>
      </c>
    </row>
    <row r="7" customFormat="false" ht="15" hidden="false" customHeight="false" outlineLevel="0" collapsed="false">
      <c r="A7" s="0" t="s">
        <v>56</v>
      </c>
      <c r="B7" s="0" t="n">
        <v>1</v>
      </c>
      <c r="C7" s="10" t="n">
        <f aca="false">B4*B7</f>
        <v>0.134803509240102</v>
      </c>
    </row>
    <row r="8" customFormat="false" ht="15" hidden="false" customHeight="false" outlineLevel="0" collapsed="false">
      <c r="A8" s="0" t="s">
        <v>57</v>
      </c>
      <c r="B8" s="0" t="n">
        <v>0.9</v>
      </c>
      <c r="C8" s="10" t="n">
        <f aca="false">B4*B8</f>
        <v>0.121323158316092</v>
      </c>
    </row>
    <row r="9" customFormat="false" ht="15" hidden="false" customHeight="false" outlineLevel="0" collapsed="false">
      <c r="A9" s="0" t="s">
        <v>58</v>
      </c>
      <c r="B9" s="0" t="n">
        <v>0.95</v>
      </c>
      <c r="C9" s="10" t="n">
        <f aca="false">B4*B9</f>
        <v>0.128063333778097</v>
      </c>
    </row>
    <row r="10" customFormat="false" ht="15" hidden="false" customHeight="false" outlineLevel="0" collapsed="false">
      <c r="A10" s="0" t="s">
        <v>59</v>
      </c>
      <c r="B10" s="0" t="n">
        <v>1.05</v>
      </c>
      <c r="C10" s="10" t="n">
        <f aca="false">B4*B10</f>
        <v>0.141543684702107</v>
      </c>
    </row>
    <row r="11" customFormat="false" ht="15" hidden="false" customHeight="false" outlineLevel="0" collapsed="false">
      <c r="A11" s="0" t="s">
        <v>60</v>
      </c>
      <c r="B11" s="0" t="n">
        <v>1.1</v>
      </c>
      <c r="C11" s="10" t="n">
        <f aca="false">B4*B11</f>
        <v>0.148283860164112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0"/>
  <sheetViews>
    <sheetView showFormulas="false" showGridLines="true" showRowColHeaders="true" showZeros="true" rightToLeft="false" tabSelected="false" showOutlineSymbols="true" defaultGridColor="true" view="normal" topLeftCell="A1" colorId="64" zoomScale="59" zoomScaleNormal="59" zoomScalePageLayoutView="100" workbookViewId="0">
      <pane xSplit="0" ySplit="1" topLeftCell="A2" activePane="bottomLeft" state="frozen"/>
      <selection pane="topLeft" activeCell="A1" activeCellId="0" sqref="A1"/>
      <selection pane="bottomLeft" activeCell="E112" activeCellId="0" sqref="E11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4"/>
    <col collapsed="false" customWidth="true" hidden="false" outlineLevel="0" max="13" min="13" style="0" width="55"/>
  </cols>
  <sheetData>
    <row r="1" customFormat="false" ht="33.75" hidden="false" customHeight="true" outlineLevel="0" collapsed="false">
      <c r="A1" s="13" t="s">
        <v>61</v>
      </c>
      <c r="B1" s="13" t="s">
        <v>62</v>
      </c>
      <c r="C1" s="13" t="s">
        <v>63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J1" s="13" t="s">
        <v>70</v>
      </c>
      <c r="K1" s="13" t="s">
        <v>71</v>
      </c>
      <c r="M1" s="14"/>
    </row>
    <row r="2" customFormat="false" ht="14.25" hidden="false" customHeight="false" outlineLevel="0" collapsed="false">
      <c r="A2" s="15" t="n">
        <v>1</v>
      </c>
      <c r="B2" s="15" t="str">
        <f aca="false" t="array" ref="B2:B2">IF(C2="M",INDEX('Random Lists'!$A$2:$A$56,COUNTIF($C$2:C2,"M")),INDEX('Random Lists'!$B$2:$B$55,COUNTIF($C$2:C2,"F")))</f>
        <v>NURUL HUSNA BINTI SHAH</v>
      </c>
      <c r="C2" s="15" t="str">
        <f aca="true">IF(RAND()&lt;55/109,"M","F")</f>
        <v>F</v>
      </c>
      <c r="D2" s="15" t="n">
        <f aca="false">RANDBETWEEN(18,60)</f>
        <v>47</v>
      </c>
      <c r="E2" s="15" t="str">
        <f aca="false">CHOOSE(RANDBETWEEN(1,9),"WNP","WPS","WPC","ENP","EPS","EPC","TNP","TPS","TPC")</f>
        <v>ENP</v>
      </c>
      <c r="F2" s="16" t="n">
        <f aca="false">IF(LEFT(E2,1)="W","N/A",CHOOSE(RANDBETWEEN(1,5),5,10,15,20,25))</f>
        <v>20</v>
      </c>
      <c r="G2" s="17" t="n">
        <f aca="false">CHOOSE(RANDBETWEEN(1,12),50000,55000,60000,75000,80000,100000,120000,125000,150000,175000,180000,200000)</f>
        <v>150000</v>
      </c>
      <c r="H2" s="15" t="n">
        <f aca="false">IF(LEFT(E2,1)="W",CHOOSE(RANDBETWEEN(1,5),5,10,15,20,25),RANDBETWEEN(1,F2/5)*5)</f>
        <v>15</v>
      </c>
      <c r="I2" s="18" t="str">
        <f aca="false">IF(RIGHT(E2,2)="NP","None",IF(RIGHT(E2,1)="S","SRB","CRB"))</f>
        <v>None</v>
      </c>
      <c r="J2" s="19" t="n">
        <f aca="false">IF(I2="None",0%,5%)</f>
        <v>0</v>
      </c>
      <c r="K2" s="15" t="n">
        <f aca="false">IF(LEFT(E2,1)="W",RANDBETWEEN(1,10),RANDBETWEEN(1,MIN(10,F2)))</f>
        <v>10</v>
      </c>
    </row>
    <row r="3" customFormat="false" ht="14.25" hidden="false" customHeight="false" outlineLevel="0" collapsed="false">
      <c r="A3" s="15" t="n">
        <v>2</v>
      </c>
      <c r="B3" s="15" t="str">
        <f aca="false" t="array" ref="B3:B3">IF(C3="M",INDEX('Random Lists'!$A$2:$A$56,COUNTIF($C$2:C3,"M")),INDEX('Random Lists'!$B$2:$B$55,COUNTIF($C$2:C3,"F")))</f>
        <v>NUR SYAZWANI BINTI SALLEH</v>
      </c>
      <c r="C3" s="15" t="str">
        <f aca="true">IF(COUNTIF($C$2:C2,"M")&gt;=55,"F",IF(COUNTIF($C$2:C2,"F")&gt;=54,"M",IF(RAND()&lt;55/109,"M","F")))</f>
        <v>F</v>
      </c>
      <c r="D3" s="15" t="n">
        <f aca="false">RANDBETWEEN(18,60)</f>
        <v>42</v>
      </c>
      <c r="E3" s="15" t="str">
        <f aca="false">CHOOSE(RANDBETWEEN(1,9),"WNP","WPS","WPC","ENP","EPS","EPC","TNP","TPS","TPC")</f>
        <v>WNP</v>
      </c>
      <c r="F3" s="15" t="str">
        <f aca="false">IF(LEFT(E3,1)="W","N/A",CHOOSE(RANDBETWEEN(1,5),5,10,15,20,25))</f>
        <v>N/A</v>
      </c>
      <c r="G3" s="17" t="n">
        <f aca="false">CHOOSE(RANDBETWEEN(1,11),50000,60000,75000,80000,100000,120000,125000,150000,175000,180000,200000)</f>
        <v>75000</v>
      </c>
      <c r="H3" s="15" t="n">
        <f aca="false">IF(LEFT(E3,1)="W",CHOOSE(RANDBETWEEN(1,5),5,10,15,20,25),RANDBETWEEN(1,F3/5)*5)</f>
        <v>10</v>
      </c>
      <c r="I3" s="18" t="str">
        <f aca="false">IF(RIGHT(E3,2)="NP","None",IF(RIGHT(E3,1)="S","SRB","CRB"))</f>
        <v>None</v>
      </c>
      <c r="J3" s="19" t="n">
        <f aca="false">IF(I3="None",0%,5%)</f>
        <v>0</v>
      </c>
      <c r="K3" s="15" t="n">
        <f aca="false">IF(LEFT(E3,1)="W",RANDBETWEEN(1,10),RANDBETWEEN(1,MIN(10,F3)))</f>
        <v>9</v>
      </c>
    </row>
    <row r="4" customFormat="false" ht="14.25" hidden="false" customHeight="false" outlineLevel="0" collapsed="false">
      <c r="A4" s="15" t="n">
        <v>3</v>
      </c>
      <c r="B4" s="15" t="str">
        <f aca="false" t="array" ref="B4:B4">IF(C4="M",INDEX('Random Lists'!$A$2:$A$56,COUNTIF($C$2:C4,"M")),INDEX('Random Lists'!$B$2:$B$55,COUNTIF($C$2:C4,"F")))</f>
        <v>MUHAMMAD HAZIQ BIN SHAH</v>
      </c>
      <c r="C4" s="15" t="str">
        <f aca="true">IF(COUNTIF($C$2:C3,"M")&gt;=55,"F",IF(COUNTIF($C$2:C3,"F")&gt;=54,"M",IF(RAND()&lt;55/109,"M","F")))</f>
        <v>M</v>
      </c>
      <c r="D4" s="15" t="n">
        <f aca="false">RANDBETWEEN(18,60)</f>
        <v>51</v>
      </c>
      <c r="E4" s="15" t="str">
        <f aca="false">CHOOSE(RANDBETWEEN(1,9),"WNP","WPS","WPC","ENP","EPS","EPC","TNP","TPS","TPC")</f>
        <v>EPS</v>
      </c>
      <c r="F4" s="15" t="n">
        <f aca="false">IF(LEFT(E4,1)="W","N/A",CHOOSE(RANDBETWEEN(1,5),5,10,15,20,25))</f>
        <v>25</v>
      </c>
      <c r="G4" s="17" t="n">
        <f aca="false">CHOOSE(RANDBETWEEN(1,11),50000,60000,75000,80000,100000,120000,125000,150000,175000,180000,200000)</f>
        <v>175000</v>
      </c>
      <c r="H4" s="15" t="n">
        <f aca="false">IF(LEFT(E4,1)="W",CHOOSE(RANDBETWEEN(1,5),5,10,15,20,25),RANDBETWEEN(1,F4/5)*5)</f>
        <v>15</v>
      </c>
      <c r="I4" s="18" t="str">
        <f aca="false">IF(RIGHT(E4,2)="NP","None",IF(RIGHT(E4,1)="S","SRB","CRB"))</f>
        <v>SRB</v>
      </c>
      <c r="J4" s="19" t="n">
        <f aca="false">IF(I4="None",0%,5%)</f>
        <v>0.05</v>
      </c>
      <c r="K4" s="15" t="n">
        <f aca="false">IF(LEFT(E4,1)="W",RANDBETWEEN(1,10),RANDBETWEEN(1,MIN(10,F4)))</f>
        <v>5</v>
      </c>
    </row>
    <row r="5" customFormat="false" ht="14.25" hidden="false" customHeight="false" outlineLevel="0" collapsed="false">
      <c r="A5" s="15" t="n">
        <v>4</v>
      </c>
      <c r="B5" s="15" t="str">
        <f aca="false" t="array" ref="B5:B5">IF(C5="M",INDEX('Random Lists'!$A$2:$A$56,COUNTIF($C$2:C5,"M")),INDEX('Random Lists'!$B$2:$B$55,COUNTIF($C$2:C5,"F")))</f>
        <v>NUR SHAFIQAH BINTI MAHADI</v>
      </c>
      <c r="C5" s="15" t="str">
        <f aca="true">IF(COUNTIF($C$2:C4,"M")&gt;=55,"F",IF(COUNTIF($C$2:C4,"F")&gt;=54,"M",IF(RAND()&lt;55/109,"M","F")))</f>
        <v>F</v>
      </c>
      <c r="D5" s="15" t="n">
        <f aca="false">RANDBETWEEN(18,60)</f>
        <v>42</v>
      </c>
      <c r="E5" s="15" t="str">
        <f aca="false">CHOOSE(RANDBETWEEN(1,9),"WNP","WPS","WPC","ENP","EPS","EPC","TNP","TPS","TPC")</f>
        <v>TPC</v>
      </c>
      <c r="F5" s="15" t="n">
        <f aca="false">IF(LEFT(E5,1)="W","N/A",CHOOSE(RANDBETWEEN(1,5),5,10,15,20,25))</f>
        <v>5</v>
      </c>
      <c r="G5" s="17" t="n">
        <f aca="false">CHOOSE(RANDBETWEEN(1,11),50000,60000,75000,80000,100000,120000,125000,150000,175000,180000,200000)</f>
        <v>50000</v>
      </c>
      <c r="H5" s="15" t="n">
        <f aca="false">IF(LEFT(E5,1)="W",CHOOSE(RANDBETWEEN(1,5),5,10,15,20,25),RANDBETWEEN(1,F5/5)*5)</f>
        <v>5</v>
      </c>
      <c r="I5" s="18" t="str">
        <f aca="false">IF(RIGHT(E5,2)="NP","None",IF(RIGHT(E5,1)="S","SRB","CRB"))</f>
        <v>CRB</v>
      </c>
      <c r="J5" s="19" t="n">
        <f aca="false">IF(I5="None",0%,5%)</f>
        <v>0.05</v>
      </c>
      <c r="K5" s="15" t="n">
        <f aca="false">IF(LEFT(E5,1)="W",RANDBETWEEN(1,10),RANDBETWEEN(1,MIN(10,F5)))</f>
        <v>1</v>
      </c>
    </row>
    <row r="6" customFormat="false" ht="14.25" hidden="false" customHeight="false" outlineLevel="0" collapsed="false">
      <c r="A6" s="15" t="n">
        <v>5</v>
      </c>
      <c r="B6" s="15" t="str">
        <f aca="false" t="array" ref="B6:B6">IF(C6="M",INDEX('Random Lists'!$A$2:$A$56,COUNTIF($C$2:C6,"M")),INDEX('Random Lists'!$B$2:$B$55,COUNTIF($C$2:C6,"F")))</f>
        <v>MUHAMMAD HAZWAN BIN RAMLI</v>
      </c>
      <c r="C6" s="15" t="str">
        <f aca="true">IF(COUNTIF($C$2:C5,"M")&gt;=55,"F",IF(COUNTIF($C$2:C5,"F")&gt;=54,"M",IF(RAND()&lt;55/109,"M","F")))</f>
        <v>M</v>
      </c>
      <c r="D6" s="15" t="n">
        <f aca="false">RANDBETWEEN(18,60)</f>
        <v>21</v>
      </c>
      <c r="E6" s="15" t="str">
        <f aca="false">CHOOSE(RANDBETWEEN(1,9),"WNP","WPS","WPC","ENP","EPS","EPC","TNP","TPS","TPC")</f>
        <v>TPC</v>
      </c>
      <c r="F6" s="16" t="n">
        <f aca="false">IF(LEFT(E6,1)="W","N/A",CHOOSE(RANDBETWEEN(1,5),5,10,15,20,25))</f>
        <v>20</v>
      </c>
      <c r="G6" s="17" t="n">
        <f aca="false">CHOOSE(RANDBETWEEN(1,11),50000,60000,75000,80000,100000,120000,125000,150000,175000,180000,200000)</f>
        <v>100000</v>
      </c>
      <c r="H6" s="15" t="n">
        <f aca="false">IF(LEFT(E6,1)="W",CHOOSE(RANDBETWEEN(1,5),5,10,15,20,25),RANDBETWEEN(1,F6/5)*5)</f>
        <v>5</v>
      </c>
      <c r="I6" s="18" t="str">
        <f aca="false">IF(RIGHT(E6,2)="NP","None",IF(RIGHT(E6,1)="S","SRB","CRB"))</f>
        <v>CRB</v>
      </c>
      <c r="J6" s="19" t="n">
        <f aca="false">IF(I6="None",0%,5%)</f>
        <v>0.05</v>
      </c>
      <c r="K6" s="15" t="n">
        <f aca="false">IF(LEFT(E6,1)="W",RANDBETWEEN(1,10),RANDBETWEEN(1,MIN(10,F6)))</f>
        <v>2</v>
      </c>
    </row>
    <row r="7" customFormat="false" ht="14.25" hidden="false" customHeight="false" outlineLevel="0" collapsed="false">
      <c r="A7" s="15" t="n">
        <v>6</v>
      </c>
      <c r="B7" s="15" t="str">
        <f aca="false" t="array" ref="B7:B7">IF(C7="M",INDEX('Random Lists'!$A$2:$A$56,COUNTIF($C$2:C7,"M")),INDEX('Random Lists'!$B$2:$B$55,COUNTIF($C$2:C7,"F")))</f>
        <v>MUHAMMAD IRFAN BIN AZIZ</v>
      </c>
      <c r="C7" s="15" t="str">
        <f aca="true">IF(COUNTIF($C$2:C6,"M")&gt;=55,"F",IF(COUNTIF($C$2:C6,"F")&gt;=54,"M",IF(RAND()&lt;55/109,"M","F")))</f>
        <v>M</v>
      </c>
      <c r="D7" s="15" t="n">
        <f aca="false">RANDBETWEEN(18,60)</f>
        <v>47</v>
      </c>
      <c r="E7" s="15" t="str">
        <f aca="false">CHOOSE(RANDBETWEEN(1,9),"WNP","WPS","WPC","ENP","EPS","EPC","TNP","TPS","TPC")</f>
        <v>TPC</v>
      </c>
      <c r="F7" s="15" t="n">
        <f aca="false">IF(LEFT(E7,1)="W","N/A",CHOOSE(RANDBETWEEN(1,5),5,10,15,20,25))</f>
        <v>20</v>
      </c>
      <c r="G7" s="17" t="n">
        <f aca="false">CHOOSE(RANDBETWEEN(1,11),50000,60000,75000,80000,100000,120000,125000,150000,175000,180000,200000)</f>
        <v>120000</v>
      </c>
      <c r="H7" s="15" t="n">
        <f aca="false">IF(LEFT(E7,1)="W",CHOOSE(RANDBETWEEN(1,5),5,10,15,20,25),RANDBETWEEN(1,F7/5)*5)</f>
        <v>5</v>
      </c>
      <c r="I7" s="18" t="str">
        <f aca="false">IF(RIGHT(E7,2)="NP","None",IF(RIGHT(E7,1)="S","SRB","CRB"))</f>
        <v>CRB</v>
      </c>
      <c r="J7" s="19" t="n">
        <f aca="false">IF(I7="None",0%,5%)</f>
        <v>0.05</v>
      </c>
      <c r="K7" s="15" t="n">
        <f aca="false">IF(LEFT(E7,1)="W",RANDBETWEEN(1,10),RANDBETWEEN(1,MIN(10,F7)))</f>
        <v>5</v>
      </c>
    </row>
    <row r="8" customFormat="false" ht="14.25" hidden="false" customHeight="false" outlineLevel="0" collapsed="false">
      <c r="A8" s="15" t="n">
        <v>7</v>
      </c>
      <c r="B8" s="15" t="str">
        <f aca="false" t="array" ref="B8:B8">IF(C8="M",INDEX('Random Lists'!$A$2:$A$56,COUNTIF($C$2:C8,"M")),INDEX('Random Lists'!$B$2:$B$55,COUNTIF($C$2:C8,"F")))</f>
        <v>AHMAD LUQMAN BIN AZHAR</v>
      </c>
      <c r="C8" s="15" t="str">
        <f aca="true">IF(COUNTIF($C$2:C7,"M")&gt;=55,"F",IF(COUNTIF($C$2:C7,"F")&gt;=54,"M",IF(RAND()&lt;55/109,"M","F")))</f>
        <v>M</v>
      </c>
      <c r="D8" s="15" t="n">
        <f aca="false">RANDBETWEEN(18,60)</f>
        <v>50</v>
      </c>
      <c r="E8" s="15" t="str">
        <f aca="false">CHOOSE(RANDBETWEEN(1,9),"WNP","WPS","WPC","ENP","EPS","EPC","TNP","TPS","TPC")</f>
        <v>TPC</v>
      </c>
      <c r="F8" s="16" t="n">
        <f aca="false">IF(LEFT(E8,1)="W","N/A",CHOOSE(RANDBETWEEN(1,5),5,10,15,20,25))</f>
        <v>10</v>
      </c>
      <c r="G8" s="17" t="n">
        <f aca="false">CHOOSE(RANDBETWEEN(1,11),50000,60000,75000,80000,100000,120000,125000,150000,175000,180000,200000)</f>
        <v>200000</v>
      </c>
      <c r="H8" s="15" t="n">
        <f aca="false">IF(LEFT(E8,1)="W",CHOOSE(RANDBETWEEN(1,5),5,10,15,20,25),RANDBETWEEN(1,F8/5)*5)</f>
        <v>10</v>
      </c>
      <c r="I8" s="18" t="str">
        <f aca="false">IF(RIGHT(E8,2)="NP","None",IF(RIGHT(E8,1)="S","SRB","CRB"))</f>
        <v>CRB</v>
      </c>
      <c r="J8" s="19" t="n">
        <f aca="false">IF(I8="None",0%,5%)</f>
        <v>0.05</v>
      </c>
      <c r="K8" s="15" t="n">
        <f aca="false">IF(LEFT(E8,1)="W",RANDBETWEEN(1,10),RANDBETWEEN(1,MIN(10,F8)))</f>
        <v>10</v>
      </c>
    </row>
    <row r="9" customFormat="false" ht="14.25" hidden="false" customHeight="false" outlineLevel="0" collapsed="false">
      <c r="A9" s="15" t="n">
        <v>8</v>
      </c>
      <c r="B9" s="15" t="str">
        <f aca="false" t="array" ref="B9:B9">IF(C9="M",INDEX('Random Lists'!$A$2:$A$56,COUNTIF($C$2:C9,"M")),INDEX('Random Lists'!$B$2:$B$55,COUNTIF($C$2:C9,"F")))</f>
        <v>NUR ALIA BINTI RAZALI</v>
      </c>
      <c r="C9" s="15" t="str">
        <f aca="true">IF(COUNTIF($C$2:C8,"M")&gt;=55,"F",IF(COUNTIF($C$2:C8,"F")&gt;=54,"M",IF(RAND()&lt;55/109,"M","F")))</f>
        <v>F</v>
      </c>
      <c r="D9" s="15" t="n">
        <f aca="false">RANDBETWEEN(18,60)</f>
        <v>60</v>
      </c>
      <c r="E9" s="15" t="str">
        <f aca="false">CHOOSE(RANDBETWEEN(1,9),"WNP","WPS","WPC","ENP","EPS","EPC","TNP","TPS","TPC")</f>
        <v>WPC</v>
      </c>
      <c r="F9" s="15" t="str">
        <f aca="false">IF(LEFT(E9,1)="W","N/A",CHOOSE(RANDBETWEEN(1,5),5,10,15,20,25))</f>
        <v>N/A</v>
      </c>
      <c r="G9" s="17" t="n">
        <f aca="false">CHOOSE(RANDBETWEEN(1,11),50000,60000,75000,80000,100000,120000,125000,150000,175000,180000,200000)</f>
        <v>150000</v>
      </c>
      <c r="H9" s="15" t="n">
        <f aca="false">IF(LEFT(E9,1)="W",CHOOSE(RANDBETWEEN(1,5),5,10,15,20,25),RANDBETWEEN(1,F9/5)*5)</f>
        <v>5</v>
      </c>
      <c r="I9" s="18" t="str">
        <f aca="false">IF(RIGHT(E9,2)="NP","None",IF(RIGHT(E9,1)="S","SRB","CRB"))</f>
        <v>CRB</v>
      </c>
      <c r="J9" s="19" t="n">
        <f aca="false">IF(I9="None",0%,5%)</f>
        <v>0.05</v>
      </c>
      <c r="K9" s="15" t="n">
        <f aca="false">IF(LEFT(E9,1)="W",RANDBETWEEN(1,10),RANDBETWEEN(1,MIN(10,F9)))</f>
        <v>1</v>
      </c>
    </row>
    <row r="10" customFormat="false" ht="14.25" hidden="false" customHeight="false" outlineLevel="0" collapsed="false">
      <c r="A10" s="15" t="n">
        <v>9</v>
      </c>
      <c r="B10" s="15" t="str">
        <f aca="false" t="array" ref="B10:B10">IF(C10="M",INDEX('Random Lists'!$A$2:$A$56,COUNTIF($C$2:C10,"M")),INDEX('Random Lists'!$B$2:$B$55,COUNTIF($C$2:C10,"F")))</f>
        <v>NUR HANNA BINTI AZMAN</v>
      </c>
      <c r="C10" s="15" t="str">
        <f aca="true">IF(COUNTIF($C$2:C9,"M")&gt;=55,"F",IF(COUNTIF($C$2:C9,"F")&gt;=54,"M",IF(RAND()&lt;55/109,"M","F")))</f>
        <v>F</v>
      </c>
      <c r="D10" s="15" t="n">
        <f aca="false">RANDBETWEEN(18,60)</f>
        <v>28</v>
      </c>
      <c r="E10" s="15" t="str">
        <f aca="false">CHOOSE(RANDBETWEEN(1,9),"WNP","WPS","WPC","ENP","EPS","EPC","TNP","TPS","TPC")</f>
        <v>WPC</v>
      </c>
      <c r="F10" s="15" t="str">
        <f aca="false">IF(LEFT(E10,1)="W","N/A",CHOOSE(RANDBETWEEN(1,5),5,10,15,20,25))</f>
        <v>N/A</v>
      </c>
      <c r="G10" s="17" t="n">
        <f aca="false">CHOOSE(RANDBETWEEN(1,11),50000,60000,75000,80000,100000,120000,125000,150000,175000,180000,200000)</f>
        <v>75000</v>
      </c>
      <c r="H10" s="15" t="n">
        <f aca="false">IF(LEFT(E10,1)="W",CHOOSE(RANDBETWEEN(1,5),5,10,15,20,25),RANDBETWEEN(1,F10/5)*5)</f>
        <v>5</v>
      </c>
      <c r="I10" s="18" t="str">
        <f aca="false">IF(RIGHT(E10,2)="NP","None",IF(RIGHT(E10,1)="S","SRB","CRB"))</f>
        <v>CRB</v>
      </c>
      <c r="J10" s="19" t="n">
        <f aca="false">IF(I10="None",0%,5%)</f>
        <v>0.05</v>
      </c>
      <c r="K10" s="15" t="n">
        <f aca="false">IF(LEFT(E10,1)="W",RANDBETWEEN(1,10),RANDBETWEEN(1,MIN(10,F10)))</f>
        <v>9</v>
      </c>
    </row>
    <row r="11" customFormat="false" ht="14.25" hidden="false" customHeight="false" outlineLevel="0" collapsed="false">
      <c r="A11" s="15" t="n">
        <v>10</v>
      </c>
      <c r="B11" s="15" t="str">
        <f aca="false" t="array" ref="B11:B11">IF(C11="M",INDEX('Random Lists'!$A$2:$A$56,COUNTIF($C$2:C11,"M")),INDEX('Random Lists'!$B$2:$B$55,COUNTIF($C$2:C11,"F")))</f>
        <v>NUR HAZREENA BINTI JAMAL</v>
      </c>
      <c r="C11" s="15" t="str">
        <f aca="true">IF(COUNTIF($C$2:C10,"M")&gt;=55,"F",IF(COUNTIF($C$2:C10,"F")&gt;=54,"M",IF(RAND()&lt;55/109,"M","F")))</f>
        <v>F</v>
      </c>
      <c r="D11" s="15" t="n">
        <f aca="false">RANDBETWEEN(18,60)</f>
        <v>59</v>
      </c>
      <c r="E11" s="15" t="str">
        <f aca="false">CHOOSE(RANDBETWEEN(1,9),"WNP","WPS","WPC","ENP","EPS","EPC","TNP","TPS","TPC")</f>
        <v>TPC</v>
      </c>
      <c r="F11" s="15" t="n">
        <f aca="false">IF(LEFT(E11,1)="W","N/A",CHOOSE(RANDBETWEEN(1,5),5,10,15,20,25))</f>
        <v>10</v>
      </c>
      <c r="G11" s="17" t="n">
        <f aca="false">CHOOSE(RANDBETWEEN(1,11),50000,60000,75000,80000,100000,120000,125000,150000,175000,180000,200000)</f>
        <v>120000</v>
      </c>
      <c r="H11" s="15" t="n">
        <f aca="false">IF(LEFT(E11,1)="W",CHOOSE(RANDBETWEEN(1,5),5,10,15,20,25),RANDBETWEEN(1,F11/5)*5)</f>
        <v>10</v>
      </c>
      <c r="I11" s="18" t="str">
        <f aca="false">IF(RIGHT(E11,2)="NP","None",IF(RIGHT(E11,1)="S","SRB","CRB"))</f>
        <v>CRB</v>
      </c>
      <c r="J11" s="19" t="n">
        <f aca="false">IF(I11="None",0%,5%)</f>
        <v>0.05</v>
      </c>
      <c r="K11" s="15" t="n">
        <f aca="false">IF(LEFT(E11,1)="W",RANDBETWEEN(1,10),RANDBETWEEN(1,MIN(10,F11)))</f>
        <v>5</v>
      </c>
    </row>
    <row r="12" customFormat="false" ht="14.25" hidden="false" customHeight="false" outlineLevel="0" collapsed="false">
      <c r="A12" s="15" t="n">
        <v>11</v>
      </c>
      <c r="B12" s="15" t="str">
        <f aca="false" t="array" ref="B12:B12">IF(C12="M",INDEX('Random Lists'!$A$2:$A$56,COUNTIF($C$2:C12,"M")),INDEX('Random Lists'!$B$2:$B$55,COUNTIF($C$2:C12,"F")))</f>
        <v>NUR MAISARAH BINTI ZAINAL</v>
      </c>
      <c r="C12" s="15" t="str">
        <f aca="true">IF(COUNTIF($C$2:C11,"M")&gt;=55,"F",IF(COUNTIF($C$2:C11,"F")&gt;=54,"M",IF(RAND()&lt;55/109,"M","F")))</f>
        <v>F</v>
      </c>
      <c r="D12" s="15" t="n">
        <f aca="false">RANDBETWEEN(18,60)</f>
        <v>51</v>
      </c>
      <c r="E12" s="15" t="str">
        <f aca="false">CHOOSE(RANDBETWEEN(1,9),"WNP","WPS","WPC","ENP","EPS","EPC","TNP","TPS","TPC")</f>
        <v>EPC</v>
      </c>
      <c r="F12" s="15" t="n">
        <f aca="false">IF(LEFT(E12,1)="W","N/A",CHOOSE(RANDBETWEEN(1,5),5,10,15,20,25))</f>
        <v>15</v>
      </c>
      <c r="G12" s="17" t="n">
        <f aca="false">CHOOSE(RANDBETWEEN(1,11),50000,60000,75000,80000,100000,120000,125000,150000,175000,180000,200000)</f>
        <v>80000</v>
      </c>
      <c r="H12" s="15" t="n">
        <f aca="false">IF(LEFT(E12,1)="W",CHOOSE(RANDBETWEEN(1,5),5,10,15,20,25),RANDBETWEEN(1,F12/5)*5)</f>
        <v>15</v>
      </c>
      <c r="I12" s="18" t="str">
        <f aca="false">IF(RIGHT(E12,2)="NP","None",IF(RIGHT(E12,1)="S","SRB","CRB"))</f>
        <v>CRB</v>
      </c>
      <c r="J12" s="19" t="n">
        <f aca="false">IF(I12="None",0%,5%)</f>
        <v>0.05</v>
      </c>
      <c r="K12" s="15" t="n">
        <f aca="false">IF(LEFT(E12,1)="W",RANDBETWEEN(1,10),RANDBETWEEN(1,MIN(10,F12)))</f>
        <v>1</v>
      </c>
    </row>
    <row r="13" customFormat="false" ht="14.25" hidden="false" customHeight="false" outlineLevel="0" collapsed="false">
      <c r="A13" s="15" t="n">
        <v>12</v>
      </c>
      <c r="B13" s="15" t="str">
        <f aca="false" t="array" ref="B13:B13">IF(C13="M",INDEX('Random Lists'!$A$2:$A$56,COUNTIF($C$2:C13,"M")),INDEX('Random Lists'!$B$2:$B$55,COUNTIF($C$2:C13,"F")))</f>
        <v>AMIR SYAKIR BIN ZAIDI</v>
      </c>
      <c r="C13" s="15" t="str">
        <f aca="true">IF(COUNTIF($C$2:C12,"M")&gt;=55,"F",IF(COUNTIF($C$2:C12,"F")&gt;=54,"M",IF(RAND()&lt;55/109,"M","F")))</f>
        <v>M</v>
      </c>
      <c r="D13" s="15" t="n">
        <f aca="false">RANDBETWEEN(18,60)</f>
        <v>33</v>
      </c>
      <c r="E13" s="15" t="str">
        <f aca="false">CHOOSE(RANDBETWEEN(1,9),"WNP","WPS","WPC","ENP","EPS","EPC","TNP","TPS","TPC")</f>
        <v>TPC</v>
      </c>
      <c r="F13" s="15" t="n">
        <f aca="false">IF(LEFT(E13,1)="W","N/A",CHOOSE(RANDBETWEEN(1,5),5,10,15,20,25))</f>
        <v>5</v>
      </c>
      <c r="G13" s="17" t="n">
        <f aca="false">CHOOSE(RANDBETWEEN(1,11),50000,60000,75000,80000,100000,120000,125000,150000,175000,180000,200000)</f>
        <v>100000</v>
      </c>
      <c r="H13" s="15" t="n">
        <f aca="false">IF(LEFT(E13,1)="W",CHOOSE(RANDBETWEEN(1,5),5,10,15,20,25),RANDBETWEEN(1,F13/5)*5)</f>
        <v>5</v>
      </c>
      <c r="I13" s="18" t="str">
        <f aca="false">IF(RIGHT(E13,2)="NP","None",IF(RIGHT(E13,1)="S","SRB","CRB"))</f>
        <v>CRB</v>
      </c>
      <c r="J13" s="19" t="n">
        <f aca="false">IF(I13="None",0%,5%)</f>
        <v>0.05</v>
      </c>
      <c r="K13" s="15" t="n">
        <f aca="false">IF(LEFT(E13,1)="W",RANDBETWEEN(1,10),RANDBETWEEN(1,MIN(10,F13)))</f>
        <v>3</v>
      </c>
    </row>
    <row r="14" customFormat="false" ht="14.25" hidden="false" customHeight="false" outlineLevel="0" collapsed="false">
      <c r="A14" s="15" t="n">
        <v>13</v>
      </c>
      <c r="B14" s="15" t="str">
        <f aca="false" t="array" ref="B14:B14">IF(C14="M",INDEX('Random Lists'!$A$2:$A$56,COUNTIF($C$2:C14,"M")),INDEX('Random Lists'!$B$2:$B$55,COUNTIF($C$2:C14,"F")))</f>
        <v>SITI NURZAHIRAH BINTI OMAR</v>
      </c>
      <c r="C14" s="15" t="str">
        <f aca="true">IF(COUNTIF($C$2:C13,"M")&gt;=55,"F",IF(COUNTIF($C$2:C13,"F")&gt;=54,"M",IF(RAND()&lt;55/109,"M","F")))</f>
        <v>F</v>
      </c>
      <c r="D14" s="15" t="n">
        <f aca="false">RANDBETWEEN(18,60)</f>
        <v>46</v>
      </c>
      <c r="E14" s="15" t="str">
        <f aca="false">CHOOSE(RANDBETWEEN(1,9),"WNP","WPS","WPC","ENP","EPS","EPC","TNP","TPS","TPC")</f>
        <v>TPC</v>
      </c>
      <c r="F14" s="16" t="n">
        <f aca="false">IF(LEFT(E14,1)="W","N/A",CHOOSE(RANDBETWEEN(1,5),5,10,15,20,25))</f>
        <v>20</v>
      </c>
      <c r="G14" s="17" t="n">
        <f aca="false">CHOOSE(RANDBETWEEN(1,11),50000,60000,75000,80000,100000,120000,125000,150000,175000,180000,200000)</f>
        <v>75000</v>
      </c>
      <c r="H14" s="15" t="n">
        <f aca="false">IF(LEFT(E14,1)="W",CHOOSE(RANDBETWEEN(1,5),5,10,15,20,25),RANDBETWEEN(1,F14/5)*5)</f>
        <v>15</v>
      </c>
      <c r="I14" s="18" t="str">
        <f aca="false">IF(RIGHT(E14,2)="NP","None",IF(RIGHT(E14,1)="S","SRB","CRB"))</f>
        <v>CRB</v>
      </c>
      <c r="J14" s="19" t="n">
        <f aca="false">IF(I14="None",0%,5%)</f>
        <v>0.05</v>
      </c>
      <c r="K14" s="15" t="n">
        <f aca="false">IF(LEFT(E14,1)="W",RANDBETWEEN(1,10),RANDBETWEEN(1,MIN(10,F14)))</f>
        <v>5</v>
      </c>
    </row>
    <row r="15" customFormat="false" ht="14.25" hidden="false" customHeight="false" outlineLevel="0" collapsed="false">
      <c r="A15" s="15" t="n">
        <v>14</v>
      </c>
      <c r="B15" s="15" t="str">
        <f aca="false" t="array" ref="B15:B15">IF(C15="M",INDEX('Random Lists'!$A$2:$A$56,COUNTIF($C$2:C15,"M")),INDEX('Random Lists'!$B$2:$B$55,COUNTIF($C$2:C15,"F")))</f>
        <v>MUHAMMAD SHAFIQ BIN MAHADI</v>
      </c>
      <c r="C15" s="15" t="str">
        <f aca="true">IF(COUNTIF($C$2:C14,"M")&gt;=55,"F",IF(COUNTIF($C$2:C14,"F")&gt;=54,"M",IF(RAND()&lt;55/109,"M","F")))</f>
        <v>M</v>
      </c>
      <c r="D15" s="15" t="n">
        <f aca="false">RANDBETWEEN(18,60)</f>
        <v>37</v>
      </c>
      <c r="E15" s="15" t="str">
        <f aca="false">CHOOSE(RANDBETWEEN(1,9),"WNP","WPS","WPC","ENP","EPS","EPC","TNP","TPS","TPC")</f>
        <v>WNP</v>
      </c>
      <c r="F15" s="15" t="str">
        <f aca="false">IF(LEFT(E15,1)="W","N/A",CHOOSE(RANDBETWEEN(1,5),5,10,15,20,25))</f>
        <v>N/A</v>
      </c>
      <c r="G15" s="17" t="n">
        <f aca="false">CHOOSE(RANDBETWEEN(1,11),50000,60000,75000,80000,100000,120000,125000,150000,175000,180000,200000)</f>
        <v>125000</v>
      </c>
      <c r="H15" s="15" t="n">
        <f aca="false">IF(LEFT(E15,1)="W",CHOOSE(RANDBETWEEN(1,5),5,10,15,20,25),RANDBETWEEN(1,F15/5)*5)</f>
        <v>20</v>
      </c>
      <c r="I15" s="18" t="str">
        <f aca="false">IF(RIGHT(E15,2)="NP","None",IF(RIGHT(E15,1)="S","SRB","CRB"))</f>
        <v>None</v>
      </c>
      <c r="J15" s="19" t="n">
        <f aca="false">IF(I15="None",0%,5%)</f>
        <v>0</v>
      </c>
      <c r="K15" s="15" t="n">
        <f aca="false">IF(LEFT(E15,1)="W",RANDBETWEEN(1,10),RANDBETWEEN(1,MIN(10,F15)))</f>
        <v>3</v>
      </c>
    </row>
    <row r="16" customFormat="false" ht="14.25" hidden="false" customHeight="false" outlineLevel="0" collapsed="false">
      <c r="A16" s="15" t="n">
        <v>15</v>
      </c>
      <c r="B16" s="15" t="str">
        <f aca="false" t="array" ref="B16:B16">IF(C16="M",INDEX('Random Lists'!$A$2:$A$56,COUNTIF($C$2:C16,"M")),INDEX('Random Lists'!$B$2:$B$55,COUNTIF($C$2:C16,"F")))</f>
        <v>MUHAMMAD RAYYAN BIN HISHAM</v>
      </c>
      <c r="C16" s="15" t="str">
        <f aca="true">IF(COUNTIF($C$2:C15,"M")&gt;=55,"F",IF(COUNTIF($C$2:C15,"F")&gt;=54,"M",IF(RAND()&lt;55/109,"M","F")))</f>
        <v>M</v>
      </c>
      <c r="D16" s="15" t="n">
        <f aca="false">RANDBETWEEN(18,60)</f>
        <v>44</v>
      </c>
      <c r="E16" s="15" t="str">
        <f aca="false">CHOOSE(RANDBETWEEN(1,9),"WNP","WPS","WPC","ENP","EPS","EPC","TNP","TPS","TPC")</f>
        <v>TNP</v>
      </c>
      <c r="F16" s="15" t="n">
        <f aca="false">IF(LEFT(E16,1)="W","N/A",CHOOSE(RANDBETWEEN(1,5),5,10,15,20,25))</f>
        <v>15</v>
      </c>
      <c r="G16" s="17" t="n">
        <f aca="false">CHOOSE(RANDBETWEEN(1,11),50000,60000,75000,80000,100000,120000,125000,150000,175000,180000,200000)</f>
        <v>200000</v>
      </c>
      <c r="H16" s="15" t="n">
        <f aca="false">IF(LEFT(E16,1)="W",CHOOSE(RANDBETWEEN(1,5),5,10,15,20,25),RANDBETWEEN(1,F16/5)*5)</f>
        <v>15</v>
      </c>
      <c r="I16" s="18" t="str">
        <f aca="false">IF(RIGHT(E16,2)="NP","None",IF(RIGHT(E16,1)="S","SRB","CRB"))</f>
        <v>None</v>
      </c>
      <c r="J16" s="19" t="n">
        <f aca="false">IF(I16="None",0%,5%)</f>
        <v>0</v>
      </c>
      <c r="K16" s="15" t="n">
        <f aca="false">IF(LEFT(E16,1)="W",RANDBETWEEN(1,10),RANDBETWEEN(1,MIN(10,F16)))</f>
        <v>4</v>
      </c>
    </row>
    <row r="17" customFormat="false" ht="14.25" hidden="false" customHeight="false" outlineLevel="0" collapsed="false">
      <c r="A17" s="15" t="n">
        <v>16</v>
      </c>
      <c r="B17" s="15" t="str">
        <f aca="false" t="array" ref="B17:B17">IF(C17="M",INDEX('Random Lists'!$A$2:$A$56,COUNTIF($C$2:C17,"M")),INDEX('Random Lists'!$B$2:$B$55,COUNTIF($C$2:C17,"F")))</f>
        <v>NUR HAZWANI BINTI ROSLAN</v>
      </c>
      <c r="C17" s="15" t="str">
        <f aca="true">IF(COUNTIF($C$2:C16,"M")&gt;=55,"F",IF(COUNTIF($C$2:C16,"F")&gt;=54,"M",IF(RAND()&lt;55/109,"M","F")))</f>
        <v>F</v>
      </c>
      <c r="D17" s="15" t="n">
        <f aca="false">RANDBETWEEN(18,60)</f>
        <v>34</v>
      </c>
      <c r="E17" s="15" t="str">
        <f aca="false">CHOOSE(RANDBETWEEN(1,9),"WNP","WPS","WPC","ENP","EPS","EPC","TNP","TPS","TPC")</f>
        <v>TPS</v>
      </c>
      <c r="F17" s="16" t="n">
        <f aca="false">IF(LEFT(E17,1)="W","N/A",CHOOSE(RANDBETWEEN(1,5),5,10,15,20,25))</f>
        <v>20</v>
      </c>
      <c r="G17" s="17" t="n">
        <f aca="false">CHOOSE(RANDBETWEEN(1,11),50000,60000,75000,80000,100000,120000,125000,150000,175000,180000,200000)</f>
        <v>80000</v>
      </c>
      <c r="H17" s="15" t="n">
        <f aca="false">IF(LEFT(E17,1)="W",CHOOSE(RANDBETWEEN(1,5),5,10,15,20,25),RANDBETWEEN(1,F17/5)*5)</f>
        <v>5</v>
      </c>
      <c r="I17" s="18" t="str">
        <f aca="false">IF(RIGHT(E17,2)="NP","None",IF(RIGHT(E17,1)="S","SRB","CRB"))</f>
        <v>SRB</v>
      </c>
      <c r="J17" s="19" t="n">
        <f aca="false">IF(I17="None",0%,5%)</f>
        <v>0.05</v>
      </c>
      <c r="K17" s="15" t="n">
        <f aca="false">IF(LEFT(E17,1)="W",RANDBETWEEN(1,10),RANDBETWEEN(1,MIN(10,F17)))</f>
        <v>2</v>
      </c>
    </row>
    <row r="18" customFormat="false" ht="14.25" hidden="false" customHeight="false" outlineLevel="0" collapsed="false">
      <c r="A18" s="15" t="n">
        <v>17</v>
      </c>
      <c r="B18" s="15" t="str">
        <f aca="false" t="array" ref="B18:B18">IF(C18="M",INDEX('Random Lists'!$A$2:$A$56,COUNTIF($C$2:C18,"M")),INDEX('Random Lists'!$B$2:$B$55,COUNTIF($C$2:C18,"F")))</f>
        <v>MUHAMMAD IKRAM BIN MUSTAFA</v>
      </c>
      <c r="C18" s="15" t="str">
        <f aca="true">IF(COUNTIF($C$2:C17,"M")&gt;=55,"F",IF(COUNTIF($C$2:C17,"F")&gt;=54,"M",IF(RAND()&lt;55/109,"M","F")))</f>
        <v>M</v>
      </c>
      <c r="D18" s="15" t="n">
        <f aca="false">RANDBETWEEN(18,60)</f>
        <v>31</v>
      </c>
      <c r="E18" s="15" t="str">
        <f aca="false">CHOOSE(RANDBETWEEN(1,9),"WNP","WPS","WPC","ENP","EPS","EPC","TNP","TPS","TPC")</f>
        <v>TNP</v>
      </c>
      <c r="F18" s="16" t="n">
        <f aca="false">IF(LEFT(E18,1)="W","N/A",CHOOSE(RANDBETWEEN(1,5),5,10,15,20,25))</f>
        <v>15</v>
      </c>
      <c r="G18" s="17" t="n">
        <f aca="false">CHOOSE(RANDBETWEEN(1,11),50000,60000,75000,80000,100000,120000,125000,150000,175000,180000,200000)</f>
        <v>150000</v>
      </c>
      <c r="H18" s="15" t="n">
        <f aca="false">IF(LEFT(E18,1)="W",CHOOSE(RANDBETWEEN(1,5),5,10,15,20,25),RANDBETWEEN(1,F18/5)*5)</f>
        <v>5</v>
      </c>
      <c r="I18" s="18" t="str">
        <f aca="false">IF(RIGHT(E18,2)="NP","None",IF(RIGHT(E18,1)="S","SRB","CRB"))</f>
        <v>None</v>
      </c>
      <c r="J18" s="19" t="n">
        <f aca="false">IF(I18="None",0%,5%)</f>
        <v>0</v>
      </c>
      <c r="K18" s="15" t="n">
        <f aca="false">IF(LEFT(E18,1)="W",RANDBETWEEN(1,10),RANDBETWEEN(1,MIN(10,F18)))</f>
        <v>8</v>
      </c>
    </row>
    <row r="19" customFormat="false" ht="14.25" hidden="false" customHeight="false" outlineLevel="0" collapsed="false">
      <c r="A19" s="15" t="n">
        <v>18</v>
      </c>
      <c r="B19" s="15" t="str">
        <f aca="false" t="array" ref="B19:B19">IF(C19="M",INDEX('Random Lists'!$A$2:$A$56,COUNTIF($C$2:C19,"M")),INDEX('Random Lists'!$B$2:$B$55,COUNTIF($C$2:C19,"F")))</f>
        <v>MUHAMMAD SYAFIQ BIN JAMAL</v>
      </c>
      <c r="C19" s="15" t="str">
        <f aca="true">IF(COUNTIF($C$2:C18,"M")&gt;=55,"F",IF(COUNTIF($C$2:C18,"F")&gt;=54,"M",IF(RAND()&lt;55/109,"M","F")))</f>
        <v>M</v>
      </c>
      <c r="D19" s="15" t="n">
        <f aca="false">RANDBETWEEN(18,60)</f>
        <v>41</v>
      </c>
      <c r="E19" s="15" t="str">
        <f aca="false">CHOOSE(RANDBETWEEN(1,9),"WNP","WPS","WPC","ENP","EPS","EPC","TNP","TPS","TPC")</f>
        <v>EPC</v>
      </c>
      <c r="F19" s="16" t="n">
        <f aca="false">IF(LEFT(E19,1)="W","N/A",CHOOSE(RANDBETWEEN(1,5),5,10,15,20,25))</f>
        <v>20</v>
      </c>
      <c r="G19" s="17" t="n">
        <f aca="false">CHOOSE(RANDBETWEEN(1,11),50000,60000,75000,80000,100000,120000,125000,150000,175000,180000,200000)</f>
        <v>150000</v>
      </c>
      <c r="H19" s="15" t="n">
        <f aca="false">IF(LEFT(E19,1)="W",CHOOSE(RANDBETWEEN(1,5),5,10,15,20,25),RANDBETWEEN(1,F19/5)*5)</f>
        <v>5</v>
      </c>
      <c r="I19" s="18" t="str">
        <f aca="false">IF(RIGHT(E19,2)="NP","None",IF(RIGHT(E19,1)="S","SRB","CRB"))</f>
        <v>CRB</v>
      </c>
      <c r="J19" s="19" t="n">
        <f aca="false">IF(I19="None",0%,5%)</f>
        <v>0.05</v>
      </c>
      <c r="K19" s="15" t="n">
        <f aca="false">IF(LEFT(E19,1)="W",RANDBETWEEN(1,10),RANDBETWEEN(1,MIN(10,F19)))</f>
        <v>10</v>
      </c>
    </row>
    <row r="20" customFormat="false" ht="14.25" hidden="false" customHeight="false" outlineLevel="0" collapsed="false">
      <c r="A20" s="15" t="n">
        <v>19</v>
      </c>
      <c r="B20" s="15" t="str">
        <f aca="false" t="array" ref="B20:B20">IF(C20="M",INDEX('Random Lists'!$A$2:$A$56,COUNTIF($C$2:C20,"M")),INDEX('Random Lists'!$B$2:$B$55,COUNTIF($C$2:C20,"F")))</f>
        <v>MUHAMMAD FIKRI BIN NASIR</v>
      </c>
      <c r="C20" s="15" t="str">
        <f aca="true">IF(COUNTIF($C$2:C19,"M")&gt;=55,"F",IF(COUNTIF($C$2:C19,"F")&gt;=54,"M",IF(RAND()&lt;55/109,"M","F")))</f>
        <v>M</v>
      </c>
      <c r="D20" s="15" t="n">
        <f aca="false">RANDBETWEEN(18,60)</f>
        <v>23</v>
      </c>
      <c r="E20" s="15" t="str">
        <f aca="false">CHOOSE(RANDBETWEEN(1,9),"WNP","WPS","WPC","ENP","EPS","EPC","TNP","TPS","TPC")</f>
        <v>ENP</v>
      </c>
      <c r="F20" s="15" t="n">
        <f aca="false">IF(LEFT(E20,1)="W","N/A",CHOOSE(RANDBETWEEN(1,5),5,10,15,20,25))</f>
        <v>15</v>
      </c>
      <c r="G20" s="17" t="n">
        <f aca="false">CHOOSE(RANDBETWEEN(1,11),50000,60000,75000,80000,100000,120000,125000,150000,175000,180000,200000)</f>
        <v>100000</v>
      </c>
      <c r="H20" s="15" t="n">
        <f aca="false">IF(LEFT(E20,1)="W",CHOOSE(RANDBETWEEN(1,5),5,10,15,20,25),RANDBETWEEN(1,F20/5)*5)</f>
        <v>5</v>
      </c>
      <c r="I20" s="18" t="str">
        <f aca="false">IF(RIGHT(E20,2)="NP","None",IF(RIGHT(E20,1)="S","SRB","CRB"))</f>
        <v>None</v>
      </c>
      <c r="J20" s="19" t="n">
        <f aca="false">IF(I20="None",0%,5%)</f>
        <v>0</v>
      </c>
      <c r="K20" s="15" t="n">
        <f aca="false">IF(LEFT(E20,1)="W",RANDBETWEEN(1,10),RANDBETWEEN(1,MIN(10,F20)))</f>
        <v>3</v>
      </c>
    </row>
    <row r="21" customFormat="false" ht="14.25" hidden="false" customHeight="false" outlineLevel="0" collapsed="false">
      <c r="A21" s="15" t="n">
        <v>20</v>
      </c>
      <c r="B21" s="15" t="str">
        <f aca="false" t="array" ref="B21:B21">IF(C21="M",INDEX('Random Lists'!$A$2:$A$56,COUNTIF($C$2:C21,"M")),INDEX('Random Lists'!$B$2:$B$55,COUNTIF($C$2:C21,"F")))</f>
        <v>MUHAMMAD DANIAL BIN ZAKI</v>
      </c>
      <c r="C21" s="15" t="str">
        <f aca="true">IF(COUNTIF($C$2:C20,"M")&gt;=55,"F",IF(COUNTIF($C$2:C20,"F")&gt;=54,"M",IF(RAND()&lt;55/109,"M","F")))</f>
        <v>M</v>
      </c>
      <c r="D21" s="15" t="n">
        <f aca="false">RANDBETWEEN(18,60)</f>
        <v>30</v>
      </c>
      <c r="E21" s="15" t="str">
        <f aca="false">CHOOSE(RANDBETWEEN(1,9),"WNP","WPS","WPC","ENP","EPS","EPC","TNP","TPS","TPC")</f>
        <v>EPC</v>
      </c>
      <c r="F21" s="15" t="n">
        <f aca="false">IF(LEFT(E21,1)="W","N/A",CHOOSE(RANDBETWEEN(1,5),5,10,15,20,25))</f>
        <v>20</v>
      </c>
      <c r="G21" s="17" t="n">
        <f aca="false">CHOOSE(RANDBETWEEN(1,11),50000,60000,75000,80000,100000,120000,125000,150000,175000,180000,200000)</f>
        <v>120000</v>
      </c>
      <c r="H21" s="15" t="n">
        <f aca="false">IF(LEFT(E21,1)="W",CHOOSE(RANDBETWEEN(1,5),5,10,15,20,25),RANDBETWEEN(1,F21/5)*5)</f>
        <v>20</v>
      </c>
      <c r="I21" s="18" t="str">
        <f aca="false">IF(RIGHT(E21,2)="NP","None",IF(RIGHT(E21,1)="S","SRB","CRB"))</f>
        <v>CRB</v>
      </c>
      <c r="J21" s="19" t="n">
        <f aca="false">IF(I21="None",0%,5%)</f>
        <v>0.05</v>
      </c>
      <c r="K21" s="15" t="n">
        <f aca="false">IF(LEFT(E21,1)="W",RANDBETWEEN(1,10),RANDBETWEEN(1,MIN(10,F21)))</f>
        <v>6</v>
      </c>
    </row>
    <row r="22" customFormat="false" ht="14.25" hidden="false" customHeight="false" outlineLevel="0" collapsed="false">
      <c r="A22" s="15" t="n">
        <v>21</v>
      </c>
      <c r="B22" s="15" t="str">
        <f aca="false" t="array" ref="B22:B22">IF(C22="M",INDEX('Random Lists'!$A$2:$A$56,COUNTIF($C$2:C22,"M")),INDEX('Random Lists'!$B$2:$B$55,COUNTIF($C$2:C22,"F")))</f>
        <v>SITI NURUL AIN BINTI RAHIM</v>
      </c>
      <c r="C22" s="15" t="str">
        <f aca="true">IF(COUNTIF($C$2:C21,"M")&gt;=55,"F",IF(COUNTIF($C$2:C21,"F")&gt;=54,"M",IF(RAND()&lt;55/109,"M","F")))</f>
        <v>F</v>
      </c>
      <c r="D22" s="15" t="n">
        <f aca="false">RANDBETWEEN(18,60)</f>
        <v>20</v>
      </c>
      <c r="E22" s="15" t="str">
        <f aca="false">CHOOSE(RANDBETWEEN(1,9),"WNP","WPS","WPC","ENP","EPS","EPC","TNP","TPS","TPC")</f>
        <v>WPS</v>
      </c>
      <c r="F22" s="15" t="str">
        <f aca="false">IF(LEFT(E22,1)="W","N/A",CHOOSE(RANDBETWEEN(1,5),5,10,15,20,25))</f>
        <v>N/A</v>
      </c>
      <c r="G22" s="17" t="n">
        <f aca="false">CHOOSE(RANDBETWEEN(1,11),50000,60000,75000,80000,100000,120000,125000,150000,175000,180000,200000)</f>
        <v>200000</v>
      </c>
      <c r="H22" s="15" t="n">
        <f aca="false">IF(LEFT(E22,1)="W",CHOOSE(RANDBETWEEN(1,5),5,10,15,20,25),RANDBETWEEN(1,F22/5)*5)</f>
        <v>20</v>
      </c>
      <c r="I22" s="18" t="str">
        <f aca="false">IF(RIGHT(E22,2)="NP","None",IF(RIGHT(E22,1)="S","SRB","CRB"))</f>
        <v>SRB</v>
      </c>
      <c r="J22" s="19" t="n">
        <f aca="false">IF(I22="None",0%,5%)</f>
        <v>0.05</v>
      </c>
      <c r="K22" s="15" t="n">
        <f aca="false">IF(LEFT(E22,1)="W",RANDBETWEEN(1,10),RANDBETWEEN(1,MIN(10,F22)))</f>
        <v>2</v>
      </c>
    </row>
    <row r="23" customFormat="false" ht="14.25" hidden="false" customHeight="false" outlineLevel="0" collapsed="false">
      <c r="A23" s="15" t="n">
        <v>22</v>
      </c>
      <c r="B23" s="15" t="str">
        <f aca="false" t="array" ref="B23:B23">IF(C23="M",INDEX('Random Lists'!$A$2:$A$56,COUNTIF($C$2:C23,"M")),INDEX('Random Lists'!$B$2:$B$55,COUNTIF($C$2:C23,"F")))</f>
        <v>AHMAD SYAMIL BIN RAHMAN</v>
      </c>
      <c r="C23" s="15" t="str">
        <f aca="true">IF(COUNTIF($C$2:C22,"M")&gt;=55,"F",IF(COUNTIF($C$2:C22,"F")&gt;=54,"M",IF(RAND()&lt;55/109,"M","F")))</f>
        <v>M</v>
      </c>
      <c r="D23" s="15" t="n">
        <f aca="false">RANDBETWEEN(18,60)</f>
        <v>24</v>
      </c>
      <c r="E23" s="15" t="str">
        <f aca="false">CHOOSE(RANDBETWEEN(1,9),"WNP","WPS","WPC","ENP","EPS","EPC","TNP","TPS","TPC")</f>
        <v>TPS</v>
      </c>
      <c r="F23" s="15" t="n">
        <f aca="false">IF(LEFT(E23,1)="W","N/A",CHOOSE(RANDBETWEEN(1,5),5,10,15,20,25))</f>
        <v>25</v>
      </c>
      <c r="G23" s="17" t="n">
        <f aca="false">CHOOSE(RANDBETWEEN(1,11),50000,60000,75000,80000,100000,120000,125000,150000,175000,180000,200000)</f>
        <v>200000</v>
      </c>
      <c r="H23" s="15" t="n">
        <f aca="false">IF(LEFT(E23,1)="W",CHOOSE(RANDBETWEEN(1,5),5,10,15,20,25),RANDBETWEEN(1,F23/5)*5)</f>
        <v>25</v>
      </c>
      <c r="I23" s="18" t="str">
        <f aca="false">IF(RIGHT(E23,2)="NP","None",IF(RIGHT(E23,1)="S","SRB","CRB"))</f>
        <v>SRB</v>
      </c>
      <c r="J23" s="19" t="n">
        <f aca="false">IF(I23="None",0%,5%)</f>
        <v>0.05</v>
      </c>
      <c r="K23" s="15" t="n">
        <f aca="false">IF(LEFT(E23,1)="W",RANDBETWEEN(1,10),RANDBETWEEN(1,MIN(10,F23)))</f>
        <v>10</v>
      </c>
    </row>
    <row r="24" customFormat="false" ht="14.25" hidden="false" customHeight="false" outlineLevel="0" collapsed="false">
      <c r="A24" s="15" t="n">
        <v>23</v>
      </c>
      <c r="B24" s="15" t="str">
        <f aca="false" t="array" ref="B24:B24">IF(C24="M",INDEX('Random Lists'!$A$2:$A$56,COUNTIF($C$2:C24,"M")),INDEX('Random Lists'!$B$2:$B$55,COUNTIF($C$2:C24,"F")))</f>
        <v>MUHAMMAD HAZIM BIN YUSOF</v>
      </c>
      <c r="C24" s="15" t="str">
        <f aca="true">IF(COUNTIF($C$2:C23,"M")&gt;=55,"F",IF(COUNTIF($C$2:C23,"F")&gt;=54,"M",IF(RAND()&lt;55/109,"M","F")))</f>
        <v>M</v>
      </c>
      <c r="D24" s="15" t="n">
        <f aca="false">RANDBETWEEN(18,60)</f>
        <v>57</v>
      </c>
      <c r="E24" s="15" t="str">
        <f aca="false">CHOOSE(RANDBETWEEN(1,9),"WNP","WPS","WPC","ENP","EPS","EPC","TNP","TPS","TPC")</f>
        <v>TNP</v>
      </c>
      <c r="F24" s="15" t="n">
        <f aca="false">IF(LEFT(E24,1)="W","N/A",CHOOSE(RANDBETWEEN(1,5),5,10,15,20,25))</f>
        <v>10</v>
      </c>
      <c r="G24" s="17" t="n">
        <f aca="false">CHOOSE(RANDBETWEEN(1,11),50000,60000,75000,80000,100000,120000,125000,150000,175000,180000,200000)</f>
        <v>120000</v>
      </c>
      <c r="H24" s="15" t="n">
        <f aca="false">IF(LEFT(E24,1)="W",CHOOSE(RANDBETWEEN(1,5),5,10,15,20,25),RANDBETWEEN(1,F24/5)*5)</f>
        <v>10</v>
      </c>
      <c r="I24" s="18" t="str">
        <f aca="false">IF(RIGHT(E24,2)="NP","None",IF(RIGHT(E24,1)="S","SRB","CRB"))</f>
        <v>None</v>
      </c>
      <c r="J24" s="19" t="n">
        <f aca="false">IF(I24="None",0%,5%)</f>
        <v>0</v>
      </c>
      <c r="K24" s="15" t="n">
        <f aca="false">IF(LEFT(E24,1)="W",RANDBETWEEN(1,10),RANDBETWEEN(1,MIN(10,F24)))</f>
        <v>9</v>
      </c>
    </row>
    <row r="25" customFormat="false" ht="14.25" hidden="false" customHeight="false" outlineLevel="0" collapsed="false">
      <c r="A25" s="15" t="n">
        <v>24</v>
      </c>
      <c r="B25" s="15" t="str">
        <f aca="false" t="array" ref="B25:B25">IF(C25="M",INDEX('Random Lists'!$A$2:$A$56,COUNTIF($C$2:C25,"M")),INDEX('Random Lists'!$B$2:$B$55,COUNTIF($C$2:C25,"F")))</f>
        <v>MUHAMMAD HARITH BIN ZULKIFLI</v>
      </c>
      <c r="C25" s="15" t="str">
        <f aca="true">IF(COUNTIF($C$2:C24,"M")&gt;=55,"F",IF(COUNTIF($C$2:C24,"F")&gt;=54,"M",IF(RAND()&lt;55/109,"M","F")))</f>
        <v>M</v>
      </c>
      <c r="D25" s="15" t="n">
        <f aca="false">RANDBETWEEN(18,60)</f>
        <v>39</v>
      </c>
      <c r="E25" s="15" t="str">
        <f aca="false">CHOOSE(RANDBETWEEN(1,9),"WNP","WPS","WPC","ENP","EPS","EPC","TNP","TPS","TPC")</f>
        <v>TPC</v>
      </c>
      <c r="F25" s="15" t="n">
        <f aca="false">IF(LEFT(E25,1)="W","N/A",CHOOSE(RANDBETWEEN(1,5),5,10,15,20,25))</f>
        <v>15</v>
      </c>
      <c r="G25" s="17" t="n">
        <f aca="false">CHOOSE(RANDBETWEEN(1,11),50000,60000,75000,80000,100000,120000,125000,150000,175000,180000,200000)</f>
        <v>120000</v>
      </c>
      <c r="H25" s="15" t="n">
        <f aca="false">IF(LEFT(E25,1)="W",CHOOSE(RANDBETWEEN(1,5),5,10,15,20,25),RANDBETWEEN(1,F25/5)*5)</f>
        <v>15</v>
      </c>
      <c r="I25" s="18" t="str">
        <f aca="false">IF(RIGHT(E25,2)="NP","None",IF(RIGHT(E25,1)="S","SRB","CRB"))</f>
        <v>CRB</v>
      </c>
      <c r="J25" s="19" t="n">
        <f aca="false">IF(I25="None",0%,5%)</f>
        <v>0.05</v>
      </c>
      <c r="K25" s="15" t="n">
        <f aca="false">IF(LEFT(E25,1)="W",RANDBETWEEN(1,10),RANDBETWEEN(1,MIN(10,F25)))</f>
        <v>7</v>
      </c>
    </row>
    <row r="26" customFormat="false" ht="14.25" hidden="false" customHeight="false" outlineLevel="0" collapsed="false">
      <c r="A26" s="15" t="n">
        <v>25</v>
      </c>
      <c r="B26" s="15" t="str">
        <f aca="false" t="array" ref="B26:B26">IF(C26="M",INDEX('Random Lists'!$A$2:$A$56,COUNTIF($C$2:C26,"M")),INDEX('Random Lists'!$B$2:$B$55,COUNTIF($C$2:C26,"F")))</f>
        <v>MUHAMMAD NAUFAL BIN RAHMAN</v>
      </c>
      <c r="C26" s="15" t="str">
        <f aca="true">IF(COUNTIF($C$2:C25,"M")&gt;=55,"F",IF(COUNTIF($C$2:C25,"F")&gt;=54,"M",IF(RAND()&lt;55/109,"M","F")))</f>
        <v>M</v>
      </c>
      <c r="D26" s="15" t="n">
        <f aca="false">RANDBETWEEN(18,60)</f>
        <v>48</v>
      </c>
      <c r="E26" s="15" t="str">
        <f aca="false">CHOOSE(RANDBETWEEN(1,9),"WNP","WPS","WPC","ENP","EPS","EPC","TNP","TPS","TPC")</f>
        <v>TNP</v>
      </c>
      <c r="F26" s="15" t="n">
        <f aca="false">IF(LEFT(E26,1)="W","N/A",CHOOSE(RANDBETWEEN(1,5),5,10,15,20,25))</f>
        <v>20</v>
      </c>
      <c r="G26" s="17" t="n">
        <f aca="false">CHOOSE(RANDBETWEEN(1,11),50000,60000,75000,80000,100000,120000,125000,150000,175000,180000,200000)</f>
        <v>100000</v>
      </c>
      <c r="H26" s="15" t="n">
        <f aca="false">IF(LEFT(E26,1)="W",CHOOSE(RANDBETWEEN(1,5),5,10,15,20,25),RANDBETWEEN(1,F26/5)*5)</f>
        <v>5</v>
      </c>
      <c r="I26" s="18" t="str">
        <f aca="false">IF(RIGHT(E26,2)="NP","None",IF(RIGHT(E26,1)="S","SRB","CRB"))</f>
        <v>None</v>
      </c>
      <c r="J26" s="19" t="n">
        <f aca="false">IF(I26="None",0%,5%)</f>
        <v>0</v>
      </c>
      <c r="K26" s="15" t="n">
        <f aca="false">IF(LEFT(E26,1)="W",RANDBETWEEN(1,10),RANDBETWEEN(1,MIN(10,F26)))</f>
        <v>9</v>
      </c>
    </row>
    <row r="27" customFormat="false" ht="14.25" hidden="false" customHeight="false" outlineLevel="0" collapsed="false">
      <c r="A27" s="15" t="n">
        <v>26</v>
      </c>
      <c r="B27" s="15" t="str">
        <f aca="false" t="array" ref="B27:B27">IF(C27="M",INDEX('Random Lists'!$A$2:$A$56,COUNTIF($C$2:C27,"M")),INDEX('Random Lists'!$B$2:$B$55,COUNTIF($C$2:C27,"F")))</f>
        <v>NUR HAFIZAH BINTI ZULKIFLI</v>
      </c>
      <c r="C27" s="15" t="str">
        <f aca="true">IF(COUNTIF($C$2:C26,"M")&gt;=55,"F",IF(COUNTIF($C$2:C26,"F")&gt;=54,"M",IF(RAND()&lt;55/109,"M","F")))</f>
        <v>F</v>
      </c>
      <c r="D27" s="15" t="n">
        <f aca="false">RANDBETWEEN(18,60)</f>
        <v>59</v>
      </c>
      <c r="E27" s="15" t="str">
        <f aca="false">CHOOSE(RANDBETWEEN(1,9),"WNP","WPS","WPC","ENP","EPS","EPC","TNP","TPS","TPC")</f>
        <v>TNP</v>
      </c>
      <c r="F27" s="15" t="n">
        <f aca="false">IF(LEFT(E27,1)="W","N/A",CHOOSE(RANDBETWEEN(1,5),5,10,15,20,25))</f>
        <v>20</v>
      </c>
      <c r="G27" s="17" t="n">
        <f aca="false">CHOOSE(RANDBETWEEN(1,11),50000,60000,75000,80000,100000,120000,125000,150000,175000,180000,200000)</f>
        <v>125000</v>
      </c>
      <c r="H27" s="15" t="n">
        <f aca="false">IF(LEFT(E27,1)="W",CHOOSE(RANDBETWEEN(1,5),5,10,15,20,25),RANDBETWEEN(1,F27/5)*5)</f>
        <v>20</v>
      </c>
      <c r="I27" s="18" t="str">
        <f aca="false">IF(RIGHT(E27,2)="NP","None",IF(RIGHT(E27,1)="S","SRB","CRB"))</f>
        <v>None</v>
      </c>
      <c r="J27" s="19" t="n">
        <f aca="false">IF(I27="None",0%,5%)</f>
        <v>0</v>
      </c>
      <c r="K27" s="15" t="n">
        <f aca="false">IF(LEFT(E27,1)="W",RANDBETWEEN(1,10),RANDBETWEEN(1,MIN(10,F27)))</f>
        <v>7</v>
      </c>
    </row>
    <row r="28" customFormat="false" ht="14.25" hidden="false" customHeight="false" outlineLevel="0" collapsed="false">
      <c r="A28" s="15" t="n">
        <v>27</v>
      </c>
      <c r="B28" s="15" t="str">
        <f aca="false" t="array" ref="B28:B28">IF(C28="M",INDEX('Random Lists'!$A$2:$A$56,COUNTIF($C$2:C28,"M")),INDEX('Random Lists'!$B$2:$B$55,COUNTIF($C$2:C28,"F")))</f>
        <v>AHMAD SYAHMI BIN RAZALI</v>
      </c>
      <c r="C28" s="15" t="str">
        <f aca="true">IF(COUNTIF($C$2:C27,"M")&gt;=55,"F",IF(COUNTIF($C$2:C27,"F")&gt;=54,"M",IF(RAND()&lt;55/109,"M","F")))</f>
        <v>M</v>
      </c>
      <c r="D28" s="15" t="n">
        <f aca="false">RANDBETWEEN(18,60)</f>
        <v>30</v>
      </c>
      <c r="E28" s="15" t="str">
        <f aca="false">CHOOSE(RANDBETWEEN(1,9),"WNP","WPS","WPC","ENP","EPS","EPC","TNP","TPS","TPC")</f>
        <v>WNP</v>
      </c>
      <c r="F28" s="15" t="str">
        <f aca="false">IF(LEFT(E28,1)="W","N/A",CHOOSE(RANDBETWEEN(1,5),5,10,15,20,25))</f>
        <v>N/A</v>
      </c>
      <c r="G28" s="17" t="n">
        <f aca="false">CHOOSE(RANDBETWEEN(1,11),50000,60000,75000,80000,100000,120000,125000,150000,175000,180000,200000)</f>
        <v>180000</v>
      </c>
      <c r="H28" s="15" t="n">
        <f aca="false">IF(LEFT(E28,1)="W",CHOOSE(RANDBETWEEN(1,5),5,10,15,20,25),RANDBETWEEN(1,F28/5)*5)</f>
        <v>15</v>
      </c>
      <c r="I28" s="18" t="str">
        <f aca="false">IF(RIGHT(E28,2)="NP","None",IF(RIGHT(E28,1)="S","SRB","CRB"))</f>
        <v>None</v>
      </c>
      <c r="J28" s="19" t="n">
        <f aca="false">IF(I28="None",0%,5%)</f>
        <v>0</v>
      </c>
      <c r="K28" s="15" t="n">
        <f aca="false">IF(LEFT(E28,1)="W",RANDBETWEEN(1,10),RANDBETWEEN(1,MIN(10,F28)))</f>
        <v>6</v>
      </c>
    </row>
    <row r="29" customFormat="false" ht="14.25" hidden="false" customHeight="false" outlineLevel="0" collapsed="false">
      <c r="A29" s="15" t="n">
        <v>28</v>
      </c>
      <c r="B29" s="15" t="str">
        <f aca="false" t="array" ref="B29:B29">IF(C29="M",INDEX('Random Lists'!$A$2:$A$56,COUNTIF($C$2:C29,"M")),INDEX('Random Lists'!$B$2:$B$55,COUNTIF($C$2:C29,"F")))</f>
        <v>MUHAMMAD AFIQ BIN ZUL</v>
      </c>
      <c r="C29" s="15" t="str">
        <f aca="true">IF(COUNTIF($C$2:C28,"M")&gt;=55,"F",IF(COUNTIF($C$2:C28,"F")&gt;=54,"M",IF(RAND()&lt;55/109,"M","F")))</f>
        <v>M</v>
      </c>
      <c r="D29" s="15" t="n">
        <f aca="false">RANDBETWEEN(18,60)</f>
        <v>29</v>
      </c>
      <c r="E29" s="15" t="str">
        <f aca="false">CHOOSE(RANDBETWEEN(1,9),"WNP","WPS","WPC","ENP","EPS","EPC","TNP","TPS","TPC")</f>
        <v>WNP</v>
      </c>
      <c r="F29" s="15" t="str">
        <f aca="false">IF(LEFT(E29,1)="W","N/A",CHOOSE(RANDBETWEEN(1,5),5,10,15,20,25))</f>
        <v>N/A</v>
      </c>
      <c r="G29" s="17" t="n">
        <f aca="false">CHOOSE(RANDBETWEEN(1,11),50000,60000,75000,80000,100000,120000,125000,150000,175000,180000,200000)</f>
        <v>60000</v>
      </c>
      <c r="H29" s="15" t="n">
        <f aca="false">IF(LEFT(E29,1)="W",CHOOSE(RANDBETWEEN(1,5),5,10,15,20,25),RANDBETWEEN(1,F29/5)*5)</f>
        <v>15</v>
      </c>
      <c r="I29" s="18" t="str">
        <f aca="false">IF(RIGHT(E29,2)="NP","None",IF(RIGHT(E29,1)="S","SRB","CRB"))</f>
        <v>None</v>
      </c>
      <c r="J29" s="19" t="n">
        <f aca="false">IF(I29="None",0%,5%)</f>
        <v>0</v>
      </c>
      <c r="K29" s="15" t="n">
        <f aca="false">IF(LEFT(E29,1)="W",RANDBETWEEN(1,10),RANDBETWEEN(1,MIN(10,F29)))</f>
        <v>8</v>
      </c>
    </row>
    <row r="30" customFormat="false" ht="14.25" hidden="false" customHeight="false" outlineLevel="0" collapsed="false">
      <c r="A30" s="15" t="n">
        <v>29</v>
      </c>
      <c r="B30" s="15" t="str">
        <f aca="false" t="array" ref="B30:B30">IF(C30="M",INDEX('Random Lists'!$A$2:$A$56,COUNTIF($C$2:C30,"M")),INDEX('Random Lists'!$B$2:$B$55,COUNTIF($C$2:C30,"F")))</f>
        <v>AHMAD NAIM BIN AZIZ</v>
      </c>
      <c r="C30" s="15" t="str">
        <f aca="true">IF(COUNTIF($C$2:C29,"M")&gt;=55,"F",IF(COUNTIF($C$2:C29,"F")&gt;=54,"M",IF(RAND()&lt;55/109,"M","F")))</f>
        <v>M</v>
      </c>
      <c r="D30" s="15" t="n">
        <f aca="false">RANDBETWEEN(18,60)</f>
        <v>27</v>
      </c>
      <c r="E30" s="15" t="str">
        <f aca="false">CHOOSE(RANDBETWEEN(1,9),"WNP","WPS","WPC","ENP","EPS","EPC","TNP","TPS","TPC")</f>
        <v>EPC</v>
      </c>
      <c r="F30" s="15" t="n">
        <f aca="false">IF(LEFT(E30,1)="W","N/A",CHOOSE(RANDBETWEEN(1,5),5,10,15,20,25))</f>
        <v>25</v>
      </c>
      <c r="G30" s="17" t="n">
        <f aca="false">CHOOSE(RANDBETWEEN(1,11),50000,60000,75000,80000,100000,120000,125000,150000,175000,180000,200000)</f>
        <v>80000</v>
      </c>
      <c r="H30" s="15" t="n">
        <f aca="false">IF(LEFT(E30,1)="W",CHOOSE(RANDBETWEEN(1,5),5,10,15,20,25),RANDBETWEEN(1,F30/5)*5)</f>
        <v>10</v>
      </c>
      <c r="I30" s="18" t="str">
        <f aca="false">IF(RIGHT(E30,2)="NP","None",IF(RIGHT(E30,1)="S","SRB","CRB"))</f>
        <v>CRB</v>
      </c>
      <c r="J30" s="19" t="n">
        <f aca="false">IF(I30="None",0%,5%)</f>
        <v>0.05</v>
      </c>
      <c r="K30" s="15" t="n">
        <f aca="false">IF(LEFT(E30,1)="W",RANDBETWEEN(1,10),RANDBETWEEN(1,MIN(10,F30)))</f>
        <v>5</v>
      </c>
    </row>
    <row r="31" customFormat="false" ht="14.25" hidden="false" customHeight="false" outlineLevel="0" collapsed="false">
      <c r="A31" s="15" t="n">
        <v>30</v>
      </c>
      <c r="B31" s="15" t="str">
        <f aca="false" t="array" ref="B31:B31">IF(C31="M",INDEX('Random Lists'!$A$2:$A$56,COUNTIF($C$2:C31,"M")),INDEX('Random Lists'!$B$2:$B$55,COUNTIF($C$2:C31,"F")))</f>
        <v>MUHAMMAD ALIF BIN RAZALI</v>
      </c>
      <c r="C31" s="15" t="str">
        <f aca="true">IF(COUNTIF($C$2:C30,"M")&gt;=55,"F",IF(COUNTIF($C$2:C30,"F")&gt;=54,"M",IF(RAND()&lt;55/109,"M","F")))</f>
        <v>M</v>
      </c>
      <c r="D31" s="15" t="n">
        <f aca="false">RANDBETWEEN(18,60)</f>
        <v>29</v>
      </c>
      <c r="E31" s="15" t="str">
        <f aca="false">CHOOSE(RANDBETWEEN(1,9),"WNP","WPS","WPC","ENP","EPS","EPC","TNP","TPS","TPC")</f>
        <v>EPC</v>
      </c>
      <c r="F31" s="15" t="n">
        <f aca="false">IF(LEFT(E31,1)="W","N/A",CHOOSE(RANDBETWEEN(1,5),5,10,15,20,25))</f>
        <v>25</v>
      </c>
      <c r="G31" s="17" t="n">
        <f aca="false">CHOOSE(RANDBETWEEN(1,11),50000,60000,75000,80000,100000,120000,125000,150000,175000,180000,200000)</f>
        <v>120000</v>
      </c>
      <c r="H31" s="15" t="n">
        <f aca="false">IF(LEFT(E31,1)="W",CHOOSE(RANDBETWEEN(1,5),5,10,15,20,25),RANDBETWEEN(1,F31/5)*5)</f>
        <v>20</v>
      </c>
      <c r="I31" s="18" t="str">
        <f aca="false">IF(RIGHT(E31,2)="NP","None",IF(RIGHT(E31,1)="S","SRB","CRB"))</f>
        <v>CRB</v>
      </c>
      <c r="J31" s="19" t="n">
        <f aca="false">IF(I31="None",0%,5%)</f>
        <v>0.05</v>
      </c>
      <c r="K31" s="15" t="n">
        <f aca="false">IF(LEFT(E31,1)="W",RANDBETWEEN(1,10),RANDBETWEEN(1,MIN(10,F31)))</f>
        <v>6</v>
      </c>
    </row>
    <row r="32" customFormat="false" ht="14.25" hidden="false" customHeight="false" outlineLevel="0" collapsed="false">
      <c r="A32" s="15" t="n">
        <v>31</v>
      </c>
      <c r="B32" s="15" t="str">
        <f aca="false" t="array" ref="B32:B32">IF(C32="M",INDEX('Random Lists'!$A$2:$A$56,COUNTIF($C$2:C32,"M")),INDEX('Random Lists'!$B$2:$B$55,COUNTIF($C$2:C32,"F")))</f>
        <v>MUHAMMAD SHAHMI BIN AZIZ</v>
      </c>
      <c r="C32" s="15" t="str">
        <f aca="true">IF(COUNTIF($C$2:C31,"M")&gt;=55,"F",IF(COUNTIF($C$2:C31,"F")&gt;=54,"M",IF(RAND()&lt;55/109,"M","F")))</f>
        <v>M</v>
      </c>
      <c r="D32" s="15" t="n">
        <f aca="false">RANDBETWEEN(18,60)</f>
        <v>26</v>
      </c>
      <c r="E32" s="15" t="str">
        <f aca="false">CHOOSE(RANDBETWEEN(1,9),"WNP","WPS","WPC","ENP","EPS","EPC","TNP","TPS","TPC")</f>
        <v>WPC</v>
      </c>
      <c r="F32" s="15" t="str">
        <f aca="false">IF(LEFT(E32,1)="W","N/A",CHOOSE(RANDBETWEEN(1,5),5,10,15,20,25))</f>
        <v>N/A</v>
      </c>
      <c r="G32" s="17" t="n">
        <f aca="false">CHOOSE(RANDBETWEEN(1,11),50000,60000,75000,80000,100000,120000,125000,150000,175000,180000,200000)</f>
        <v>180000</v>
      </c>
      <c r="H32" s="15" t="n">
        <f aca="false">IF(LEFT(E32,1)="W",CHOOSE(RANDBETWEEN(1,5),5,10,15,20,25),RANDBETWEEN(1,F32/5)*5)</f>
        <v>10</v>
      </c>
      <c r="I32" s="18" t="str">
        <f aca="false">IF(RIGHT(E32,2)="NP","None",IF(RIGHT(E32,1)="S","SRB","CRB"))</f>
        <v>CRB</v>
      </c>
      <c r="J32" s="19" t="n">
        <f aca="false">IF(I32="None",0%,5%)</f>
        <v>0.05</v>
      </c>
      <c r="K32" s="15" t="n">
        <f aca="false">IF(LEFT(E32,1)="W",RANDBETWEEN(1,10),RANDBETWEEN(1,MIN(10,F32)))</f>
        <v>6</v>
      </c>
    </row>
    <row r="33" customFormat="false" ht="14.25" hidden="false" customHeight="false" outlineLevel="0" collapsed="false">
      <c r="A33" s="15" t="n">
        <v>32</v>
      </c>
      <c r="B33" s="15" t="str">
        <f aca="false" t="array" ref="B33:B33">IF(C33="M",INDEX('Random Lists'!$A$2:$A$56,COUNTIF($C$2:C33,"M")),INDEX('Random Lists'!$B$2:$B$55,COUNTIF($C$2:C33,"F")))</f>
        <v>MUHAMMAD ASYRAF BIN ZAINAL</v>
      </c>
      <c r="C33" s="15" t="str">
        <f aca="true">IF(COUNTIF($C$2:C32,"M")&gt;=55,"F",IF(COUNTIF($C$2:C32,"F")&gt;=54,"M",IF(RAND()&lt;55/109,"M","F")))</f>
        <v>M</v>
      </c>
      <c r="D33" s="15" t="n">
        <f aca="false">RANDBETWEEN(18,60)</f>
        <v>41</v>
      </c>
      <c r="E33" s="15" t="str">
        <f aca="false">CHOOSE(RANDBETWEEN(1,9),"WNP","WPS","WPC","ENP","EPS","EPC","TNP","TPS","TPC")</f>
        <v>TPC</v>
      </c>
      <c r="F33" s="15" t="n">
        <f aca="false">IF(LEFT(E33,1)="W","N/A",CHOOSE(RANDBETWEEN(1,5),5,10,15,20,25))</f>
        <v>10</v>
      </c>
      <c r="G33" s="17" t="n">
        <f aca="false">CHOOSE(RANDBETWEEN(1,11),50000,60000,75000,80000,100000,120000,125000,150000,175000,180000,200000)</f>
        <v>200000</v>
      </c>
      <c r="H33" s="15" t="n">
        <f aca="false">IF(LEFT(E33,1)="W",CHOOSE(RANDBETWEEN(1,5),5,10,15,20,25),RANDBETWEEN(1,F33/5)*5)</f>
        <v>10</v>
      </c>
      <c r="I33" s="18" t="str">
        <f aca="false">IF(RIGHT(E33,2)="NP","None",IF(RIGHT(E33,1)="S","SRB","CRB"))</f>
        <v>CRB</v>
      </c>
      <c r="J33" s="19" t="n">
        <f aca="false">IF(I33="None",0%,5%)</f>
        <v>0.05</v>
      </c>
      <c r="K33" s="15" t="n">
        <f aca="false">IF(LEFT(E33,1)="W",RANDBETWEEN(1,10),RANDBETWEEN(1,MIN(10,F33)))</f>
        <v>4</v>
      </c>
    </row>
    <row r="34" customFormat="false" ht="14.25" hidden="false" customHeight="false" outlineLevel="0" collapsed="false">
      <c r="A34" s="15" t="n">
        <v>33</v>
      </c>
      <c r="B34" s="15" t="str">
        <f aca="false" t="array" ref="B34:B34">IF(C34="M",INDEX('Random Lists'!$A$2:$A$56,COUNTIF($C$2:C34,"M")),INDEX('Random Lists'!$B$2:$B$55,COUNTIF($C$2:C34,"F")))</f>
        <v>MUHAMMAD AIMAN BIN ROSLI</v>
      </c>
      <c r="C34" s="15" t="str">
        <f aca="true">IF(COUNTIF($C$2:C33,"M")&gt;=55,"F",IF(COUNTIF($C$2:C33,"F")&gt;=54,"M",IF(RAND()&lt;55/109,"M","F")))</f>
        <v>M</v>
      </c>
      <c r="D34" s="15" t="n">
        <f aca="false">RANDBETWEEN(18,60)</f>
        <v>46</v>
      </c>
      <c r="E34" s="15" t="str">
        <f aca="false">CHOOSE(RANDBETWEEN(1,9),"WNP","WPS","WPC","ENP","EPS","EPC","TNP","TPS","TPC")</f>
        <v>TNP</v>
      </c>
      <c r="F34" s="16" t="n">
        <f aca="false">IF(LEFT(E34,1)="W","N/A",CHOOSE(RANDBETWEEN(1,5),5,10,15,20,25))</f>
        <v>25</v>
      </c>
      <c r="G34" s="17" t="n">
        <f aca="false">CHOOSE(RANDBETWEEN(1,11),50000,60000,75000,80000,100000,120000,125000,150000,175000,180000,200000)</f>
        <v>120000</v>
      </c>
      <c r="H34" s="15" t="n">
        <f aca="false">IF(LEFT(E34,1)="W",CHOOSE(RANDBETWEEN(1,5),5,10,15,20,25),RANDBETWEEN(1,F34/5)*5)</f>
        <v>15</v>
      </c>
      <c r="I34" s="18" t="str">
        <f aca="false">IF(RIGHT(E34,2)="NP","None",IF(RIGHT(E34,1)="S","SRB","CRB"))</f>
        <v>None</v>
      </c>
      <c r="J34" s="19" t="n">
        <f aca="false">IF(I34="None",0%,5%)</f>
        <v>0</v>
      </c>
      <c r="K34" s="15" t="n">
        <f aca="false">IF(LEFT(E34,1)="W",RANDBETWEEN(1,10),RANDBETWEEN(1,MIN(10,F34)))</f>
        <v>7</v>
      </c>
    </row>
    <row r="35" customFormat="false" ht="14.25" hidden="false" customHeight="false" outlineLevel="0" collapsed="false">
      <c r="A35" s="15" t="n">
        <v>34</v>
      </c>
      <c r="B35" s="15" t="str">
        <f aca="false" t="array" ref="B35:B35">IF(C35="M",INDEX('Random Lists'!$A$2:$A$56,COUNTIF($C$2:C35,"M")),INDEX('Random Lists'!$B$2:$B$55,COUNTIF($C$2:C35,"F")))</f>
        <v>MUHAMMAD FIRAS BIN NASIR</v>
      </c>
      <c r="C35" s="15" t="str">
        <f aca="true">IF(COUNTIF($C$2:C34,"M")&gt;=55,"F",IF(COUNTIF($C$2:C34,"F")&gt;=54,"M",IF(RAND()&lt;55/109,"M","F")))</f>
        <v>M</v>
      </c>
      <c r="D35" s="15" t="n">
        <f aca="false">RANDBETWEEN(18,60)</f>
        <v>43</v>
      </c>
      <c r="E35" s="15" t="str">
        <f aca="false">CHOOSE(RANDBETWEEN(1,9),"WNP","WPS","WPC","ENP","EPS","EPC","TNP","TPS","TPC")</f>
        <v>WPC</v>
      </c>
      <c r="F35" s="15" t="str">
        <f aca="false">IF(LEFT(E35,1)="W","N/A",CHOOSE(RANDBETWEEN(1,5),5,10,15,20,25))</f>
        <v>N/A</v>
      </c>
      <c r="G35" s="17" t="n">
        <f aca="false">CHOOSE(RANDBETWEEN(1,11),50000,60000,75000,80000,100000,120000,125000,150000,175000,180000,200000)</f>
        <v>180000</v>
      </c>
      <c r="H35" s="15" t="n">
        <f aca="false">IF(LEFT(E35,1)="W",CHOOSE(RANDBETWEEN(1,5),5,10,15,20,25),RANDBETWEEN(1,F35/5)*5)</f>
        <v>5</v>
      </c>
      <c r="I35" s="18" t="str">
        <f aca="false">IF(RIGHT(E35,2)="NP","None",IF(RIGHT(E35,1)="S","SRB","CRB"))</f>
        <v>CRB</v>
      </c>
      <c r="J35" s="19" t="n">
        <f aca="false">IF(I35="None",0%,5%)</f>
        <v>0.05</v>
      </c>
      <c r="K35" s="15" t="n">
        <f aca="false">IF(LEFT(E35,1)="W",RANDBETWEEN(1,10),RANDBETWEEN(1,MIN(10,F35)))</f>
        <v>8</v>
      </c>
    </row>
    <row r="36" customFormat="false" ht="14.25" hidden="false" customHeight="false" outlineLevel="0" collapsed="false">
      <c r="A36" s="15" t="n">
        <v>35</v>
      </c>
      <c r="B36" s="15" t="str">
        <f aca="false" t="array" ref="B36:B36">IF(C36="M",INDEX('Random Lists'!$A$2:$A$56,COUNTIF($C$2:C36,"M")),INDEX('Random Lists'!$B$2:$B$55,COUNTIF($C$2:C36,"F")))</f>
        <v>NUR ADALIA BINTI HASSAN</v>
      </c>
      <c r="C36" s="15" t="str">
        <f aca="true">IF(COUNTIF($C$2:C35,"M")&gt;=55,"F",IF(COUNTIF($C$2:C35,"F")&gt;=54,"M",IF(RAND()&lt;55/109,"M","F")))</f>
        <v>F</v>
      </c>
      <c r="D36" s="15" t="n">
        <f aca="false">RANDBETWEEN(18,60)</f>
        <v>19</v>
      </c>
      <c r="E36" s="15" t="str">
        <f aca="false">CHOOSE(RANDBETWEEN(1,9),"WNP","WPS","WPC","ENP","EPS","EPC","TNP","TPS","TPC")</f>
        <v>TPC</v>
      </c>
      <c r="F36" s="16" t="n">
        <f aca="false">IF(LEFT(E36,1)="W","N/A",CHOOSE(RANDBETWEEN(1,5),5,10,15,20,25))</f>
        <v>10</v>
      </c>
      <c r="G36" s="17" t="n">
        <f aca="false">CHOOSE(RANDBETWEEN(1,11),50000,60000,75000,80000,100000,120000,125000,150000,175000,180000,200000)</f>
        <v>60000</v>
      </c>
      <c r="H36" s="15" t="n">
        <f aca="false">IF(LEFT(E36,1)="W",CHOOSE(RANDBETWEEN(1,5),5,10,15,20,25),RANDBETWEEN(1,F36/5)*5)</f>
        <v>10</v>
      </c>
      <c r="I36" s="18" t="str">
        <f aca="false">IF(RIGHT(E36,2)="NP","None",IF(RIGHT(E36,1)="S","SRB","CRB"))</f>
        <v>CRB</v>
      </c>
      <c r="J36" s="19" t="n">
        <f aca="false">IF(I36="None",0%,5%)</f>
        <v>0.05</v>
      </c>
      <c r="K36" s="15" t="n">
        <f aca="false">IF(LEFT(E36,1)="W",RANDBETWEEN(1,10),RANDBETWEEN(1,MIN(10,F36)))</f>
        <v>9</v>
      </c>
    </row>
    <row r="37" customFormat="false" ht="14.25" hidden="false" customHeight="false" outlineLevel="0" collapsed="false">
      <c r="A37" s="15" t="n">
        <v>36</v>
      </c>
      <c r="B37" s="15" t="str">
        <f aca="false" t="array" ref="B37:B37">IF(C37="M",INDEX('Random Lists'!$A$2:$A$56,COUNTIF($C$2:C37,"M")),INDEX('Random Lists'!$B$2:$B$55,COUNTIF($C$2:C37,"F")))</f>
        <v>SITI NUR AMIRAH BINTI RAZAK</v>
      </c>
      <c r="C37" s="15" t="str">
        <f aca="true">IF(COUNTIF($C$2:C36,"M")&gt;=55,"F",IF(COUNTIF($C$2:C36,"F")&gt;=54,"M",IF(RAND()&lt;55/109,"M","F")))</f>
        <v>F</v>
      </c>
      <c r="D37" s="15" t="n">
        <f aca="false">RANDBETWEEN(18,60)</f>
        <v>57</v>
      </c>
      <c r="E37" s="15" t="str">
        <f aca="false">CHOOSE(RANDBETWEEN(1,9),"WNP","WPS","WPC","ENP","EPS","EPC","TNP","TPS","TPC")</f>
        <v>TNP</v>
      </c>
      <c r="F37" s="15" t="n">
        <f aca="false">IF(LEFT(E37,1)="W","N/A",CHOOSE(RANDBETWEEN(1,5),5,10,15,20,25))</f>
        <v>15</v>
      </c>
      <c r="G37" s="17" t="n">
        <f aca="false">CHOOSE(RANDBETWEEN(1,11),50000,60000,75000,80000,100000,120000,125000,150000,175000,180000,200000)</f>
        <v>100000</v>
      </c>
      <c r="H37" s="15" t="n">
        <f aca="false">IF(LEFT(E37,1)="W",CHOOSE(RANDBETWEEN(1,5),5,10,15,20,25),RANDBETWEEN(1,F37/5)*5)</f>
        <v>5</v>
      </c>
      <c r="I37" s="18" t="str">
        <f aca="false">IF(RIGHT(E37,2)="NP","None",IF(RIGHT(E37,1)="S","SRB","CRB"))</f>
        <v>None</v>
      </c>
      <c r="J37" s="19" t="n">
        <f aca="false">IF(I37="None",0%,5%)</f>
        <v>0</v>
      </c>
      <c r="K37" s="15" t="n">
        <f aca="false">IF(LEFT(E37,1)="W",RANDBETWEEN(1,10),RANDBETWEEN(1,MIN(10,F37)))</f>
        <v>8</v>
      </c>
    </row>
    <row r="38" customFormat="false" ht="14.25" hidden="false" customHeight="false" outlineLevel="0" collapsed="false">
      <c r="A38" s="15" t="n">
        <v>37</v>
      </c>
      <c r="B38" s="15" t="str">
        <f aca="false" t="array" ref="B38:B38">IF(C38="M",INDEX('Random Lists'!$A$2:$A$56,COUNTIF($C$2:C38,"M")),INDEX('Random Lists'!$B$2:$B$55,COUNTIF($C$2:C38,"F")))</f>
        <v>MUHAMMAD FAHMI BIN ABDULLAH</v>
      </c>
      <c r="C38" s="15" t="str">
        <f aca="true">IF(COUNTIF($C$2:C37,"M")&gt;=55,"F",IF(COUNTIF($C$2:C37,"F")&gt;=54,"M",IF(RAND()&lt;55/109,"M","F")))</f>
        <v>M</v>
      </c>
      <c r="D38" s="15" t="n">
        <f aca="false">RANDBETWEEN(18,60)</f>
        <v>21</v>
      </c>
      <c r="E38" s="15" t="str">
        <f aca="false">CHOOSE(RANDBETWEEN(1,9),"WNP","WPS","WPC","ENP","EPS","EPC","TNP","TPS","TPC")</f>
        <v>EPS</v>
      </c>
      <c r="F38" s="15" t="n">
        <f aca="false">IF(LEFT(E38,1)="W","N/A",CHOOSE(RANDBETWEEN(1,5),5,10,15,20,25))</f>
        <v>20</v>
      </c>
      <c r="G38" s="17" t="n">
        <f aca="false">CHOOSE(RANDBETWEEN(1,11),50000,60000,75000,80000,100000,120000,125000,150000,175000,180000,200000)</f>
        <v>150000</v>
      </c>
      <c r="H38" s="15" t="n">
        <f aca="false">IF(LEFT(E38,1)="W",CHOOSE(RANDBETWEEN(1,5),5,10,15,20,25),RANDBETWEEN(1,F38/5)*5)</f>
        <v>5</v>
      </c>
      <c r="I38" s="18" t="str">
        <f aca="false">IF(RIGHT(E38,2)="NP","None",IF(RIGHT(E38,1)="S","SRB","CRB"))</f>
        <v>SRB</v>
      </c>
      <c r="J38" s="19" t="n">
        <f aca="false">IF(I38="None",0%,5%)</f>
        <v>0.05</v>
      </c>
      <c r="K38" s="15" t="n">
        <f aca="false">IF(LEFT(E38,1)="W",RANDBETWEEN(1,10),RANDBETWEEN(1,MIN(10,F38)))</f>
        <v>2</v>
      </c>
    </row>
    <row r="39" customFormat="false" ht="14.25" hidden="false" customHeight="false" outlineLevel="0" collapsed="false">
      <c r="A39" s="15" t="n">
        <v>38</v>
      </c>
      <c r="B39" s="15" t="str">
        <f aca="false" t="array" ref="B39:B39">IF(C39="M",INDEX('Random Lists'!$A$2:$A$56,COUNTIF($C$2:C39,"M")),INDEX('Random Lists'!$B$2:$B$55,COUNTIF($C$2:C39,"F")))</f>
        <v>MUHAMMAD RAIHAN BIN SAAD</v>
      </c>
      <c r="C39" s="15" t="str">
        <f aca="true">IF(COUNTIF($C$2:C38,"M")&gt;=55,"F",IF(COUNTIF($C$2:C38,"F")&gt;=54,"M",IF(RAND()&lt;55/109,"M","F")))</f>
        <v>M</v>
      </c>
      <c r="D39" s="15" t="n">
        <f aca="false">RANDBETWEEN(18,60)</f>
        <v>32</v>
      </c>
      <c r="E39" s="15" t="str">
        <f aca="false">CHOOSE(RANDBETWEEN(1,9),"WNP","WPS","WPC","ENP","EPS","EPC","TNP","TPS","TPC")</f>
        <v>ENP</v>
      </c>
      <c r="F39" s="15" t="n">
        <f aca="false">IF(LEFT(E39,1)="W","N/A",CHOOSE(RANDBETWEEN(1,5),5,10,15,20,25))</f>
        <v>25</v>
      </c>
      <c r="G39" s="17" t="n">
        <f aca="false">CHOOSE(RANDBETWEEN(1,11),50000,60000,75000,80000,100000,120000,125000,150000,175000,180000,200000)</f>
        <v>150000</v>
      </c>
      <c r="H39" s="15" t="n">
        <f aca="false">IF(LEFT(E39,1)="W",CHOOSE(RANDBETWEEN(1,5),5,10,15,20,25),RANDBETWEEN(1,F39/5)*5)</f>
        <v>25</v>
      </c>
      <c r="I39" s="18" t="str">
        <f aca="false">IF(RIGHT(E39,2)="NP","None",IF(RIGHT(E39,1)="S","SRB","CRB"))</f>
        <v>None</v>
      </c>
      <c r="J39" s="19" t="n">
        <f aca="false">IF(I39="None",0%,5%)</f>
        <v>0</v>
      </c>
      <c r="K39" s="15" t="n">
        <f aca="false">IF(LEFT(E39,1)="W",RANDBETWEEN(1,10),RANDBETWEEN(1,MIN(10,F39)))</f>
        <v>1</v>
      </c>
    </row>
    <row r="40" customFormat="false" ht="14.25" hidden="false" customHeight="false" outlineLevel="0" collapsed="false">
      <c r="A40" s="15" t="n">
        <v>39</v>
      </c>
      <c r="B40" s="15" t="str">
        <f aca="false" t="array" ref="B40:B40">IF(C40="M",INDEX('Random Lists'!$A$2:$A$56,COUNTIF($C$2:C40,"M")),INDEX('Random Lists'!$B$2:$B$55,COUNTIF($C$2:C40,"F")))</f>
        <v>NUR AFIQAH BINTI ZAIDI</v>
      </c>
      <c r="C40" s="15" t="str">
        <f aca="true">IF(COUNTIF($C$2:C39,"M")&gt;=55,"F",IF(COUNTIF($C$2:C39,"F")&gt;=54,"M",IF(RAND()&lt;55/109,"M","F")))</f>
        <v>F</v>
      </c>
      <c r="D40" s="15" t="n">
        <f aca="false">RANDBETWEEN(18,60)</f>
        <v>56</v>
      </c>
      <c r="E40" s="15" t="str">
        <f aca="false">CHOOSE(RANDBETWEEN(1,9),"WNP","WPS","WPC","ENP","EPS","EPC","TNP","TPS","TPC")</f>
        <v>EPC</v>
      </c>
      <c r="F40" s="16" t="n">
        <f aca="false">IF(LEFT(E40,1)="W","N/A",CHOOSE(RANDBETWEEN(1,5),5,10,15,20,25))</f>
        <v>20</v>
      </c>
      <c r="G40" s="17" t="n">
        <f aca="false">CHOOSE(RANDBETWEEN(1,11),50000,60000,75000,80000,100000,120000,125000,150000,175000,180000,200000)</f>
        <v>60000</v>
      </c>
      <c r="H40" s="15" t="n">
        <f aca="false">IF(LEFT(E40,1)="W",CHOOSE(RANDBETWEEN(1,5),5,10,15,20,25),RANDBETWEEN(1,F40/5)*5)</f>
        <v>15</v>
      </c>
      <c r="I40" s="18" t="str">
        <f aca="false">IF(RIGHT(E40,2)="NP","None",IF(RIGHT(E40,1)="S","SRB","CRB"))</f>
        <v>CRB</v>
      </c>
      <c r="J40" s="19" t="n">
        <f aca="false">IF(I40="None",0%,5%)</f>
        <v>0.05</v>
      </c>
      <c r="K40" s="15" t="n">
        <f aca="false">IF(LEFT(E40,1)="W",RANDBETWEEN(1,10),RANDBETWEEN(1,MIN(10,F40)))</f>
        <v>2</v>
      </c>
    </row>
    <row r="41" customFormat="false" ht="14.25" hidden="false" customHeight="false" outlineLevel="0" collapsed="false">
      <c r="A41" s="15" t="n">
        <v>40</v>
      </c>
      <c r="B41" s="15" t="str">
        <f aca="false" t="array" ref="B41:B41">IF(C41="M",INDEX('Random Lists'!$A$2:$A$56,COUNTIF($C$2:C41,"M")),INDEX('Random Lists'!$B$2:$B$55,COUNTIF($C$2:C41,"F")))</f>
        <v>MUHAMMAD ZAKWAN BIN ISMAIL</v>
      </c>
      <c r="C41" s="15" t="str">
        <f aca="true">IF(COUNTIF($C$2:C40,"M")&gt;=55,"F",IF(COUNTIF($C$2:C40,"F")&gt;=54,"M",IF(RAND()&lt;55/109,"M","F")))</f>
        <v>M</v>
      </c>
      <c r="D41" s="15" t="n">
        <f aca="false">RANDBETWEEN(18,60)</f>
        <v>59</v>
      </c>
      <c r="E41" s="15" t="str">
        <f aca="false">CHOOSE(RANDBETWEEN(1,9),"WNP","WPS","WPC","ENP","EPS","EPC","TNP","TPS","TPC")</f>
        <v>TPC</v>
      </c>
      <c r="F41" s="16" t="n">
        <f aca="false">IF(LEFT(E41,1)="W","N/A",CHOOSE(RANDBETWEEN(1,5),5,10,15,20,25))</f>
        <v>25</v>
      </c>
      <c r="G41" s="17" t="n">
        <f aca="false">CHOOSE(RANDBETWEEN(1,11),50000,60000,75000,80000,100000,120000,125000,150000,175000,180000,200000)</f>
        <v>180000</v>
      </c>
      <c r="H41" s="15" t="n">
        <f aca="false">IF(LEFT(E41,1)="W",CHOOSE(RANDBETWEEN(1,5),5,10,15,20,25),RANDBETWEEN(1,F41/5)*5)</f>
        <v>25</v>
      </c>
      <c r="I41" s="18" t="str">
        <f aca="false">IF(RIGHT(E41,2)="NP","None",IF(RIGHT(E41,1)="S","SRB","CRB"))</f>
        <v>CRB</v>
      </c>
      <c r="J41" s="19" t="n">
        <f aca="false">IF(I41="None",0%,5%)</f>
        <v>0.05</v>
      </c>
      <c r="K41" s="15" t="n">
        <f aca="false">IF(LEFT(E41,1)="W",RANDBETWEEN(1,10),RANDBETWEEN(1,MIN(10,F41)))</f>
        <v>9</v>
      </c>
    </row>
    <row r="42" customFormat="false" ht="14.25" hidden="false" customHeight="false" outlineLevel="0" collapsed="false">
      <c r="A42" s="15" t="n">
        <v>41</v>
      </c>
      <c r="B42" s="15" t="str">
        <f aca="false" t="array" ref="B42:B42">IF(C42="M",INDEX('Random Lists'!$A$2:$A$56,COUNTIF($C$2:C42,"M")),INDEX('Random Lists'!$B$2:$B$55,COUNTIF($C$2:C42,"F")))</f>
        <v>NUR DANIA BINTI RAHMAN</v>
      </c>
      <c r="C42" s="15" t="str">
        <f aca="true">IF(COUNTIF($C$2:C41,"M")&gt;=55,"F",IF(COUNTIF($C$2:C41,"F")&gt;=54,"M",IF(RAND()&lt;55/109,"M","F")))</f>
        <v>F</v>
      </c>
      <c r="D42" s="15" t="n">
        <f aca="false">RANDBETWEEN(18,60)</f>
        <v>30</v>
      </c>
      <c r="E42" s="15" t="str">
        <f aca="false">CHOOSE(RANDBETWEEN(1,9),"WNP","WPS","WPC","ENP","EPS","EPC","TNP","TPS","TPC")</f>
        <v>WPC</v>
      </c>
      <c r="F42" s="15" t="str">
        <f aca="false">IF(LEFT(E42,1)="W","N/A",CHOOSE(RANDBETWEEN(1,5),5,10,15,20,25))</f>
        <v>N/A</v>
      </c>
      <c r="G42" s="17" t="n">
        <f aca="false">CHOOSE(RANDBETWEEN(1,11),50000,60000,75000,80000,100000,120000,125000,150000,175000,180000,200000)</f>
        <v>60000</v>
      </c>
      <c r="H42" s="15" t="n">
        <f aca="false">IF(LEFT(E42,1)="W",CHOOSE(RANDBETWEEN(1,5),5,10,15,20,25),RANDBETWEEN(1,F42/5)*5)</f>
        <v>10</v>
      </c>
      <c r="I42" s="18" t="str">
        <f aca="false">IF(RIGHT(E42,2)="NP","None",IF(RIGHT(E42,1)="S","SRB","CRB"))</f>
        <v>CRB</v>
      </c>
      <c r="J42" s="19" t="n">
        <f aca="false">IF(I42="None",0%,5%)</f>
        <v>0.05</v>
      </c>
      <c r="K42" s="15" t="n">
        <f aca="false">IF(LEFT(E42,1)="W",RANDBETWEEN(1,10),RANDBETWEEN(1,MIN(10,F42)))</f>
        <v>2</v>
      </c>
    </row>
    <row r="43" customFormat="false" ht="14.25" hidden="false" customHeight="false" outlineLevel="0" collapsed="false">
      <c r="A43" s="15" t="n">
        <v>42</v>
      </c>
      <c r="B43" s="15" t="str">
        <f aca="false" t="array" ref="B43:B43">IF(C43="M",INDEX('Random Lists'!$A$2:$A$56,COUNTIF($C$2:C43,"M")),INDEX('Random Lists'!$B$2:$B$55,COUNTIF($C$2:C43,"F")))</f>
        <v>MUHAMMAD FAREEZ BIN ABDUL HALIM</v>
      </c>
      <c r="C43" s="15" t="str">
        <f aca="true">IF(COUNTIF($C$2:C42,"M")&gt;=55,"F",IF(COUNTIF($C$2:C42,"F")&gt;=54,"M",IF(RAND()&lt;55/109,"M","F")))</f>
        <v>M</v>
      </c>
      <c r="D43" s="15" t="n">
        <f aca="false">RANDBETWEEN(18,60)</f>
        <v>57</v>
      </c>
      <c r="E43" s="15" t="str">
        <f aca="false">CHOOSE(RANDBETWEEN(1,9),"WNP","WPS","WPC","ENP","EPS","EPC","TNP","TPS","TPC")</f>
        <v>TNP</v>
      </c>
      <c r="F43" s="15" t="n">
        <f aca="false">IF(LEFT(E43,1)="W","N/A",CHOOSE(RANDBETWEEN(1,5),5,10,15,20,25))</f>
        <v>20</v>
      </c>
      <c r="G43" s="17" t="n">
        <f aca="false">CHOOSE(RANDBETWEEN(1,11),50000,60000,75000,80000,100000,120000,125000,150000,175000,180000,200000)</f>
        <v>60000</v>
      </c>
      <c r="H43" s="15" t="n">
        <f aca="false">IF(LEFT(E43,1)="W",CHOOSE(RANDBETWEEN(1,5),5,10,15,20,25),RANDBETWEEN(1,F43/5)*5)</f>
        <v>15</v>
      </c>
      <c r="I43" s="18" t="str">
        <f aca="false">IF(RIGHT(E43,2)="NP","None",IF(RIGHT(E43,1)="S","SRB","CRB"))</f>
        <v>None</v>
      </c>
      <c r="J43" s="19" t="n">
        <f aca="false">IF(I43="None",0%,5%)</f>
        <v>0</v>
      </c>
      <c r="K43" s="15" t="n">
        <f aca="false">IF(LEFT(E43,1)="W",RANDBETWEEN(1,10),RANDBETWEEN(1,MIN(10,F43)))</f>
        <v>1</v>
      </c>
    </row>
    <row r="44" customFormat="false" ht="14.25" hidden="false" customHeight="false" outlineLevel="0" collapsed="false">
      <c r="A44" s="15" t="n">
        <v>43</v>
      </c>
      <c r="B44" s="15" t="str">
        <f aca="false" t="array" ref="B44:B44">IF(C44="M",INDEX('Random Lists'!$A$2:$A$56,COUNTIF($C$2:C44,"M")),INDEX('Random Lists'!$B$2:$B$55,COUNTIF($C$2:C44,"F")))</f>
        <v>NUR RAIHANA BINTI HISHAM</v>
      </c>
      <c r="C44" s="15" t="str">
        <f aca="true">IF(COUNTIF($C$2:C43,"M")&gt;=55,"F",IF(COUNTIF($C$2:C43,"F")&gt;=54,"M",IF(RAND()&lt;55/109,"M","F")))</f>
        <v>F</v>
      </c>
      <c r="D44" s="15" t="n">
        <f aca="false">RANDBETWEEN(18,60)</f>
        <v>27</v>
      </c>
      <c r="E44" s="15" t="str">
        <f aca="false">CHOOSE(RANDBETWEEN(1,9),"WNP","WPS","WPC","ENP","EPS","EPC","TNP","TPS","TPC")</f>
        <v>WPC</v>
      </c>
      <c r="F44" s="15" t="str">
        <f aca="false">IF(LEFT(E44,1)="W","N/A",CHOOSE(RANDBETWEEN(1,5),5,10,15,20,25))</f>
        <v>N/A</v>
      </c>
      <c r="G44" s="17" t="n">
        <f aca="false">CHOOSE(RANDBETWEEN(1,11),50000,60000,75000,80000,100000,120000,125000,150000,175000,180000,200000)</f>
        <v>120000</v>
      </c>
      <c r="H44" s="15" t="n">
        <f aca="false">IF(LEFT(E44,1)="W",CHOOSE(RANDBETWEEN(1,5),5,10,15,20,25),RANDBETWEEN(1,F44/5)*5)</f>
        <v>25</v>
      </c>
      <c r="I44" s="18" t="str">
        <f aca="false">IF(RIGHT(E44,2)="NP","None",IF(RIGHT(E44,1)="S","SRB","CRB"))</f>
        <v>CRB</v>
      </c>
      <c r="J44" s="19" t="n">
        <f aca="false">IF(I44="None",0%,5%)</f>
        <v>0.05</v>
      </c>
      <c r="K44" s="15" t="n">
        <f aca="false">IF(LEFT(E44,1)="W",RANDBETWEEN(1,10),RANDBETWEEN(1,MIN(10,F44)))</f>
        <v>8</v>
      </c>
    </row>
    <row r="45" customFormat="false" ht="14.25" hidden="false" customHeight="false" outlineLevel="0" collapsed="false">
      <c r="A45" s="15" t="n">
        <v>44</v>
      </c>
      <c r="B45" s="15" t="str">
        <f aca="false" t="array" ref="B45:B45">IF(C45="M",INDEX('Random Lists'!$A$2:$A$56,COUNTIF($C$2:C45,"M")),INDEX('Random Lists'!$B$2:$B$55,COUNTIF($C$2:C45,"F")))</f>
        <v>NURUL HUDA BINTI RAHMAN</v>
      </c>
      <c r="C45" s="15" t="str">
        <f aca="true">IF(COUNTIF($C$2:C44,"M")&gt;=55,"F",IF(COUNTIF($C$2:C44,"F")&gt;=54,"M",IF(RAND()&lt;55/109,"M","F")))</f>
        <v>F</v>
      </c>
      <c r="D45" s="15" t="n">
        <f aca="false">RANDBETWEEN(18,60)</f>
        <v>22</v>
      </c>
      <c r="E45" s="15" t="str">
        <f aca="false">CHOOSE(RANDBETWEEN(1,9),"WNP","WPS","WPC","ENP","EPS","EPC","TNP","TPS","TPC")</f>
        <v>ENP</v>
      </c>
      <c r="F45" s="16" t="n">
        <f aca="false">IF(LEFT(E45,1)="W","N/A",CHOOSE(RANDBETWEEN(1,5),5,10,15,20,25))</f>
        <v>10</v>
      </c>
      <c r="G45" s="17" t="n">
        <f aca="false">CHOOSE(RANDBETWEEN(1,11),50000,60000,75000,80000,100000,120000,125000,150000,175000,180000,200000)</f>
        <v>200000</v>
      </c>
      <c r="H45" s="15" t="n">
        <f aca="false">IF(LEFT(E45,1)="W",CHOOSE(RANDBETWEEN(1,5),5,10,15,20,25),RANDBETWEEN(1,F45/5)*5)</f>
        <v>10</v>
      </c>
      <c r="I45" s="18" t="str">
        <f aca="false">IF(RIGHT(E45,2)="NP","None",IF(RIGHT(E45,1)="S","SRB","CRB"))</f>
        <v>None</v>
      </c>
      <c r="J45" s="19" t="n">
        <f aca="false">IF(I45="None",0%,5%)</f>
        <v>0</v>
      </c>
      <c r="K45" s="15" t="n">
        <f aca="false">IF(LEFT(E45,1)="W",RANDBETWEEN(1,10),RANDBETWEEN(1,MIN(10,F45)))</f>
        <v>10</v>
      </c>
    </row>
    <row r="46" customFormat="false" ht="14.25" hidden="false" customHeight="false" outlineLevel="0" collapsed="false">
      <c r="A46" s="15" t="n">
        <v>45</v>
      </c>
      <c r="B46" s="15" t="str">
        <f aca="false" t="array" ref="B46:B46">IF(C46="M",INDEX('Random Lists'!$A$2:$A$56,COUNTIF($C$2:C46,"M")),INDEX('Random Lists'!$B$2:$B$55,COUNTIF($C$2:C46,"F")))</f>
        <v>AHMAD FIRDAUS BIN RAHIM</v>
      </c>
      <c r="C46" s="15" t="str">
        <f aca="true">IF(COUNTIF($C$2:C45,"M")&gt;=55,"F",IF(COUNTIF($C$2:C45,"F")&gt;=54,"M",IF(RAND()&lt;55/109,"M","F")))</f>
        <v>M</v>
      </c>
      <c r="D46" s="15" t="n">
        <f aca="false">RANDBETWEEN(18,60)</f>
        <v>27</v>
      </c>
      <c r="E46" s="15" t="str">
        <f aca="false">CHOOSE(RANDBETWEEN(1,9),"WNP","WPS","WPC","ENP","EPS","EPC","TNP","TPS","TPC")</f>
        <v>TNP</v>
      </c>
      <c r="F46" s="15" t="n">
        <f aca="false">IF(LEFT(E46,1)="W","N/A",CHOOSE(RANDBETWEEN(1,5),5,10,15,20,25))</f>
        <v>10</v>
      </c>
      <c r="G46" s="17" t="n">
        <f aca="false">CHOOSE(RANDBETWEEN(1,11),50000,60000,75000,80000,100000,120000,125000,150000,175000,180000,200000)</f>
        <v>100000</v>
      </c>
      <c r="H46" s="15" t="n">
        <f aca="false">IF(LEFT(E46,1)="W",CHOOSE(RANDBETWEEN(1,5),5,10,15,20,25),RANDBETWEEN(1,F46/5)*5)</f>
        <v>5</v>
      </c>
      <c r="I46" s="18" t="str">
        <f aca="false">IF(RIGHT(E46,2)="NP","None",IF(RIGHT(E46,1)="S","SRB","CRB"))</f>
        <v>None</v>
      </c>
      <c r="J46" s="19" t="n">
        <f aca="false">IF(I46="None",0%,5%)</f>
        <v>0</v>
      </c>
      <c r="K46" s="15" t="n">
        <f aca="false">IF(LEFT(E46,1)="W",RANDBETWEEN(1,10),RANDBETWEEN(1,MIN(10,F46)))</f>
        <v>1</v>
      </c>
    </row>
    <row r="47" customFormat="false" ht="14.25" hidden="false" customHeight="false" outlineLevel="0" collapsed="false">
      <c r="A47" s="15" t="n">
        <v>46</v>
      </c>
      <c r="B47" s="15" t="str">
        <f aca="false" t="array" ref="B47:B47">IF(C47="M",INDEX('Random Lists'!$A$2:$A$56,COUNTIF($C$2:C47,"M")),INDEX('Random Lists'!$B$2:$B$55,COUNTIF($C$2:C47,"F")))</f>
        <v>NUR AINUL SYAFIQAH BINTI RAHMAN</v>
      </c>
      <c r="C47" s="15" t="str">
        <f aca="true">IF(COUNTIF($C$2:C46,"M")&gt;=55,"F",IF(COUNTIF($C$2:C46,"F")&gt;=54,"M",IF(RAND()&lt;55/109,"M","F")))</f>
        <v>F</v>
      </c>
      <c r="D47" s="15" t="n">
        <f aca="false">RANDBETWEEN(18,60)</f>
        <v>46</v>
      </c>
      <c r="E47" s="15" t="str">
        <f aca="false">CHOOSE(RANDBETWEEN(1,9),"WNP","WPS","WPC","ENP","EPS","EPC","TNP","TPS","TPC")</f>
        <v>WPS</v>
      </c>
      <c r="F47" s="15" t="str">
        <f aca="false">IF(LEFT(E47,1)="W","N/A",CHOOSE(RANDBETWEEN(1,5),5,10,15,20,25))</f>
        <v>N/A</v>
      </c>
      <c r="G47" s="17" t="n">
        <f aca="false">CHOOSE(RANDBETWEEN(1,11),50000,60000,75000,80000,100000,120000,125000,150000,175000,180000,200000)</f>
        <v>60000</v>
      </c>
      <c r="H47" s="15" t="n">
        <f aca="false">IF(LEFT(E47,1)="W",CHOOSE(RANDBETWEEN(1,5),5,10,15,20,25),RANDBETWEEN(1,F47/5)*5)</f>
        <v>20</v>
      </c>
      <c r="I47" s="18" t="str">
        <f aca="false">IF(RIGHT(E47,2)="NP","None",IF(RIGHT(E47,1)="S","SRB","CRB"))</f>
        <v>SRB</v>
      </c>
      <c r="J47" s="19" t="n">
        <f aca="false">IF(I47="None",0%,5%)</f>
        <v>0.05</v>
      </c>
      <c r="K47" s="15" t="n">
        <f aca="false">IF(LEFT(E47,1)="W",RANDBETWEEN(1,10),RANDBETWEEN(1,MIN(10,F47)))</f>
        <v>8</v>
      </c>
    </row>
    <row r="48" customFormat="false" ht="14.25" hidden="false" customHeight="false" outlineLevel="0" collapsed="false">
      <c r="A48" s="15" t="n">
        <v>47</v>
      </c>
      <c r="B48" s="15" t="str">
        <f aca="false" t="array" ref="B48:B48">IF(C48="M",INDEX('Random Lists'!$A$2:$A$56,COUNTIF($C$2:C48,"M")),INDEX('Random Lists'!$B$2:$B$55,COUNTIF($C$2:C48,"F")))</f>
        <v>NUR SYAHIDA BINTI AZMAN</v>
      </c>
      <c r="C48" s="15" t="str">
        <f aca="true">IF(COUNTIF($C$2:C47,"M")&gt;=55,"F",IF(COUNTIF($C$2:C47,"F")&gt;=54,"M",IF(RAND()&lt;55/109,"M","F")))</f>
        <v>F</v>
      </c>
      <c r="D48" s="15" t="n">
        <f aca="false">RANDBETWEEN(18,60)</f>
        <v>32</v>
      </c>
      <c r="E48" s="15" t="str">
        <f aca="false">CHOOSE(RANDBETWEEN(1,9),"WNP","WPS","WPC","ENP","EPS","EPC","TNP","TPS","TPC")</f>
        <v>WPC</v>
      </c>
      <c r="F48" s="15" t="str">
        <f aca="false">IF(LEFT(E48,1)="W","N/A",CHOOSE(RANDBETWEEN(1,5),5,10,15,20,25))</f>
        <v>N/A</v>
      </c>
      <c r="G48" s="17" t="n">
        <f aca="false">CHOOSE(RANDBETWEEN(1,11),50000,60000,75000,80000,100000,120000,125000,150000,175000,180000,200000)</f>
        <v>100000</v>
      </c>
      <c r="H48" s="15" t="n">
        <f aca="false">IF(LEFT(E48,1)="W",CHOOSE(RANDBETWEEN(1,5),5,10,15,20,25),RANDBETWEEN(1,F48/5)*5)</f>
        <v>20</v>
      </c>
      <c r="I48" s="18" t="str">
        <f aca="false">IF(RIGHT(E48,2)="NP","None",IF(RIGHT(E48,1)="S","SRB","CRB"))</f>
        <v>CRB</v>
      </c>
      <c r="J48" s="19" t="n">
        <f aca="false">IF(I48="None",0%,5%)</f>
        <v>0.05</v>
      </c>
      <c r="K48" s="15" t="n">
        <f aca="false">IF(LEFT(E48,1)="W",RANDBETWEEN(1,10),RANDBETWEEN(1,MIN(10,F48)))</f>
        <v>9</v>
      </c>
    </row>
    <row r="49" customFormat="false" ht="14.25" hidden="false" customHeight="false" outlineLevel="0" collapsed="false">
      <c r="A49" s="15" t="n">
        <v>48</v>
      </c>
      <c r="B49" s="15" t="str">
        <f aca="false" t="array" ref="B49:B49">IF(C49="M",INDEX('Random Lists'!$A$2:$A$56,COUNTIF($C$2:C49,"M")),INDEX('Random Lists'!$B$2:$B$55,COUNTIF($C$2:C49,"F")))</f>
        <v>NURUL SYAFINA BINTI SHUKRI</v>
      </c>
      <c r="C49" s="15" t="str">
        <f aca="true">IF(COUNTIF($C$2:C48,"M")&gt;=55,"F",IF(COUNTIF($C$2:C48,"F")&gt;=54,"M",IF(RAND()&lt;55/109,"M","F")))</f>
        <v>F</v>
      </c>
      <c r="D49" s="15" t="n">
        <f aca="false">RANDBETWEEN(18,60)</f>
        <v>47</v>
      </c>
      <c r="E49" s="15" t="str">
        <f aca="false">CHOOSE(RANDBETWEEN(1,9),"WNP","WPS","WPC","ENP","EPS","EPC","TNP","TPS","TPC")</f>
        <v>TPC</v>
      </c>
      <c r="F49" s="15" t="n">
        <f aca="false">IF(LEFT(E49,1)="W","N/A",CHOOSE(RANDBETWEEN(1,5),5,10,15,20,25))</f>
        <v>10</v>
      </c>
      <c r="G49" s="17" t="n">
        <f aca="false">CHOOSE(RANDBETWEEN(1,11),50000,60000,75000,80000,100000,120000,125000,150000,175000,180000,200000)</f>
        <v>125000</v>
      </c>
      <c r="H49" s="15" t="n">
        <f aca="false">IF(LEFT(E49,1)="W",CHOOSE(RANDBETWEEN(1,5),5,10,15,20,25),RANDBETWEEN(1,F49/5)*5)</f>
        <v>10</v>
      </c>
      <c r="I49" s="18" t="str">
        <f aca="false">IF(RIGHT(E49,2)="NP","None",IF(RIGHT(E49,1)="S","SRB","CRB"))</f>
        <v>CRB</v>
      </c>
      <c r="J49" s="19" t="n">
        <f aca="false">IF(I49="None",0%,5%)</f>
        <v>0.05</v>
      </c>
      <c r="K49" s="15" t="n">
        <f aca="false">IF(LEFT(E49,1)="W",RANDBETWEEN(1,10),RANDBETWEEN(1,MIN(10,F49)))</f>
        <v>3</v>
      </c>
    </row>
    <row r="50" customFormat="false" ht="14.25" hidden="false" customHeight="false" outlineLevel="0" collapsed="false">
      <c r="A50" s="15" t="n">
        <v>49</v>
      </c>
      <c r="B50" s="15" t="str">
        <f aca="false" t="array" ref="B50:B50">IF(C50="M",INDEX('Random Lists'!$A$2:$A$56,COUNTIF($C$2:C50,"M")),INDEX('Random Lists'!$B$2:$B$55,COUNTIF($C$2:C50,"F")))</f>
        <v>NURUL IKMAL BINTI MUSTAFA</v>
      </c>
      <c r="C50" s="15" t="str">
        <f aca="true">IF(COUNTIF($C$2:C49,"M")&gt;=55,"F",IF(COUNTIF($C$2:C49,"F")&gt;=54,"M",IF(RAND()&lt;55/109,"M","F")))</f>
        <v>F</v>
      </c>
      <c r="D50" s="15" t="n">
        <f aca="false">RANDBETWEEN(18,60)</f>
        <v>49</v>
      </c>
      <c r="E50" s="15" t="str">
        <f aca="false">CHOOSE(RANDBETWEEN(1,9),"WNP","WPS","WPC","ENP","EPS","EPC","TNP","TPS","TPC")</f>
        <v>EPS</v>
      </c>
      <c r="F50" s="16" t="n">
        <f aca="false">IF(LEFT(E50,1)="W","N/A",CHOOSE(RANDBETWEEN(1,5),5,10,15,20,25))</f>
        <v>15</v>
      </c>
      <c r="G50" s="17" t="n">
        <f aca="false">CHOOSE(RANDBETWEEN(1,11),50000,60000,75000,80000,100000,120000,125000,150000,175000,180000,200000)</f>
        <v>180000</v>
      </c>
      <c r="H50" s="15" t="n">
        <f aca="false">IF(LEFT(E50,1)="W",CHOOSE(RANDBETWEEN(1,5),5,10,15,20,25),RANDBETWEEN(1,F50/5)*5)</f>
        <v>15</v>
      </c>
      <c r="I50" s="18" t="str">
        <f aca="false">IF(RIGHT(E50,2)="NP","None",IF(RIGHT(E50,1)="S","SRB","CRB"))</f>
        <v>SRB</v>
      </c>
      <c r="J50" s="19" t="n">
        <f aca="false">IF(I50="None",0%,5%)</f>
        <v>0.05</v>
      </c>
      <c r="K50" s="15" t="n">
        <f aca="false">IF(LEFT(E50,1)="W",RANDBETWEEN(1,10),RANDBETWEEN(1,MIN(10,F50)))</f>
        <v>5</v>
      </c>
    </row>
    <row r="51" customFormat="false" ht="14.25" hidden="false" customHeight="false" outlineLevel="0" collapsed="false">
      <c r="A51" s="15" t="n">
        <v>50</v>
      </c>
      <c r="B51" s="15" t="str">
        <f aca="false" t="array" ref="B51:B51">IF(C51="M",INDEX('Random Lists'!$A$2:$A$56,COUNTIF($C$2:C51,"M")),INDEX('Random Lists'!$B$2:$B$55,COUNTIF($C$2:C51,"F")))</f>
        <v>NUR DANIAH BINTI ZAKI</v>
      </c>
      <c r="C51" s="15" t="str">
        <f aca="true">IF(COUNTIF($C$2:C50,"M")&gt;=55,"F",IF(COUNTIF($C$2:C50,"F")&gt;=54,"M",IF(RAND()&lt;55/109,"M","F")))</f>
        <v>F</v>
      </c>
      <c r="D51" s="15" t="n">
        <f aca="false">RANDBETWEEN(18,60)</f>
        <v>40</v>
      </c>
      <c r="E51" s="15" t="str">
        <f aca="false">CHOOSE(RANDBETWEEN(1,9),"WNP","WPS","WPC","ENP","EPS","EPC","TNP","TPS","TPC")</f>
        <v>WPS</v>
      </c>
      <c r="F51" s="15" t="str">
        <f aca="false">IF(LEFT(E51,1)="W","N/A",CHOOSE(RANDBETWEEN(1,5),5,10,15,20,25))</f>
        <v>N/A</v>
      </c>
      <c r="G51" s="17" t="n">
        <f aca="false">CHOOSE(RANDBETWEEN(1,11),50000,60000,75000,80000,100000,120000,125000,150000,175000,180000,200000)</f>
        <v>200000</v>
      </c>
      <c r="H51" s="15" t="n">
        <f aca="false">IF(LEFT(E51,1)="W",CHOOSE(RANDBETWEEN(1,5),5,10,15,20,25),RANDBETWEEN(1,F51/5)*5)</f>
        <v>20</v>
      </c>
      <c r="I51" s="18" t="str">
        <f aca="false">IF(RIGHT(E51,2)="NP","None",IF(RIGHT(E51,1)="S","SRB","CRB"))</f>
        <v>SRB</v>
      </c>
      <c r="J51" s="19" t="n">
        <f aca="false">IF(I51="None",0%,5%)</f>
        <v>0.05</v>
      </c>
      <c r="K51" s="15" t="n">
        <f aca="false">IF(LEFT(E51,1)="W",RANDBETWEEN(1,10),RANDBETWEEN(1,MIN(10,F51)))</f>
        <v>2</v>
      </c>
    </row>
    <row r="52" customFormat="false" ht="14.25" hidden="false" customHeight="false" outlineLevel="0" collapsed="false">
      <c r="A52" s="15" t="n">
        <v>51</v>
      </c>
      <c r="B52" s="15" t="str">
        <f aca="false" t="array" ref="B52:B52">IF(C52="M",INDEX('Random Lists'!$A$2:$A$56,COUNTIF($C$2:C52,"M")),INDEX('Random Lists'!$B$2:$B$55,COUNTIF($C$2:C52,"F")))</f>
        <v>NUR RAIHANAH BINTI SAAD</v>
      </c>
      <c r="C52" s="15" t="str">
        <f aca="true">IF(COUNTIF($C$2:C51,"M")&gt;=55,"F",IF(COUNTIF($C$2:C51,"F")&gt;=54,"M",IF(RAND()&lt;55/109,"M","F")))</f>
        <v>F</v>
      </c>
      <c r="D52" s="15" t="n">
        <f aca="false">RANDBETWEEN(18,60)</f>
        <v>47</v>
      </c>
      <c r="E52" s="15" t="str">
        <f aca="false">CHOOSE(RANDBETWEEN(1,9),"WNP","WPS","WPC","ENP","EPS","EPC","TNP","TPS","TPC")</f>
        <v>TNP</v>
      </c>
      <c r="F52" s="15" t="n">
        <f aca="false">IF(LEFT(E52,1)="W","N/A",CHOOSE(RANDBETWEEN(1,5),5,10,15,20,25))</f>
        <v>25</v>
      </c>
      <c r="G52" s="17" t="n">
        <f aca="false">CHOOSE(RANDBETWEEN(1,11),50000,60000,75000,80000,100000,120000,125000,150000,175000,180000,200000)</f>
        <v>125000</v>
      </c>
      <c r="H52" s="15" t="n">
        <f aca="false">IF(LEFT(E52,1)="W",CHOOSE(RANDBETWEEN(1,5),5,10,15,20,25),RANDBETWEEN(1,F52/5)*5)</f>
        <v>15</v>
      </c>
      <c r="I52" s="18" t="str">
        <f aca="false">IF(RIGHT(E52,2)="NP","None",IF(RIGHT(E52,1)="S","SRB","CRB"))</f>
        <v>None</v>
      </c>
      <c r="J52" s="19" t="n">
        <f aca="false">IF(I52="None",0%,5%)</f>
        <v>0</v>
      </c>
      <c r="K52" s="15" t="n">
        <f aca="false">IF(LEFT(E52,1)="W",RANDBETWEEN(1,10),RANDBETWEEN(1,MIN(10,F52)))</f>
        <v>4</v>
      </c>
    </row>
    <row r="53" customFormat="false" ht="14.25" hidden="false" customHeight="false" outlineLevel="0" collapsed="false">
      <c r="A53" s="15" t="n">
        <v>52</v>
      </c>
      <c r="B53" s="15" t="str">
        <f aca="false" t="array" ref="B53:B53">IF(C53="M",INDEX('Random Lists'!$A$2:$A$56,COUNTIF($C$2:C53,"M")),INDEX('Random Lists'!$B$2:$B$55,COUNTIF($C$2:C53,"F")))</f>
        <v>NUR FATIHAH BINTI MAHMOOD</v>
      </c>
      <c r="C53" s="15" t="str">
        <f aca="true">IF(COUNTIF($C$2:C52,"M")&gt;=55,"F",IF(COUNTIF($C$2:C52,"F")&gt;=54,"M",IF(RAND()&lt;55/109,"M","F")))</f>
        <v>F</v>
      </c>
      <c r="D53" s="15" t="n">
        <f aca="false">RANDBETWEEN(18,60)</f>
        <v>31</v>
      </c>
      <c r="E53" s="15" t="str">
        <f aca="false">CHOOSE(RANDBETWEEN(1,9),"WNP","WPS","WPC","ENP","EPS","EPC","TNP","TPS","TPC")</f>
        <v>TNP</v>
      </c>
      <c r="F53" s="15" t="n">
        <f aca="false">IF(LEFT(E53,1)="W","N/A",CHOOSE(RANDBETWEEN(1,5),5,10,15,20,25))</f>
        <v>20</v>
      </c>
      <c r="G53" s="17" t="n">
        <f aca="false">CHOOSE(RANDBETWEEN(1,11),50000,60000,75000,80000,100000,120000,125000,150000,175000,180000,200000)</f>
        <v>180000</v>
      </c>
      <c r="H53" s="15" t="n">
        <f aca="false">IF(LEFT(E53,1)="W",CHOOSE(RANDBETWEEN(1,5),5,10,15,20,25),RANDBETWEEN(1,F53/5)*5)</f>
        <v>10</v>
      </c>
      <c r="I53" s="18" t="str">
        <f aca="false">IF(RIGHT(E53,2)="NP","None",IF(RIGHT(E53,1)="S","SRB","CRB"))</f>
        <v>None</v>
      </c>
      <c r="J53" s="19" t="n">
        <f aca="false">IF(I53="None",0%,5%)</f>
        <v>0</v>
      </c>
      <c r="K53" s="15" t="n">
        <f aca="false">IF(LEFT(E53,1)="W",RANDBETWEEN(1,10),RANDBETWEEN(1,MIN(10,F53)))</f>
        <v>6</v>
      </c>
    </row>
    <row r="54" customFormat="false" ht="14.25" hidden="false" customHeight="false" outlineLevel="0" collapsed="false">
      <c r="A54" s="15" t="n">
        <v>53</v>
      </c>
      <c r="B54" s="15" t="str">
        <f aca="false" t="array" ref="B54:B54">IF(C54="M",INDEX('Random Lists'!$A$2:$A$56,COUNTIF($C$2:C54,"M")),INDEX('Random Lists'!$B$2:$B$55,COUNTIF($C$2:C54,"F")))</f>
        <v>MUHAMMAD IQBAL BIN RAHMAN</v>
      </c>
      <c r="C54" s="15" t="str">
        <f aca="true">IF(COUNTIF($C$2:C53,"M")&gt;=55,"F",IF(COUNTIF($C$2:C53,"F")&gt;=54,"M",IF(RAND()&lt;55/109,"M","F")))</f>
        <v>M</v>
      </c>
      <c r="D54" s="15" t="n">
        <f aca="false">RANDBETWEEN(18,60)</f>
        <v>18</v>
      </c>
      <c r="E54" s="15" t="str">
        <f aca="false">CHOOSE(RANDBETWEEN(1,9),"WNP","WPS","WPC","ENP","EPS","EPC","TNP","TPS","TPC")</f>
        <v>EPC</v>
      </c>
      <c r="F54" s="15" t="n">
        <f aca="false">IF(LEFT(E54,1)="W","N/A",CHOOSE(RANDBETWEEN(1,5),5,10,15,20,25))</f>
        <v>25</v>
      </c>
      <c r="G54" s="17" t="n">
        <f aca="false">CHOOSE(RANDBETWEEN(1,11),50000,60000,75000,80000,100000,120000,125000,150000,175000,180000,200000)</f>
        <v>80000</v>
      </c>
      <c r="H54" s="15" t="n">
        <f aca="false">IF(LEFT(E54,1)="W",CHOOSE(RANDBETWEEN(1,5),5,10,15,20,25),RANDBETWEEN(1,F54/5)*5)</f>
        <v>5</v>
      </c>
      <c r="I54" s="18" t="str">
        <f aca="false">IF(RIGHT(E54,2)="NP","None",IF(RIGHT(E54,1)="S","SRB","CRB"))</f>
        <v>CRB</v>
      </c>
      <c r="J54" s="19" t="n">
        <f aca="false">IF(I54="None",0%,5%)</f>
        <v>0.05</v>
      </c>
      <c r="K54" s="15" t="n">
        <f aca="false">IF(LEFT(E54,1)="W",RANDBETWEEN(1,10),RANDBETWEEN(1,MIN(10,F54)))</f>
        <v>7</v>
      </c>
    </row>
    <row r="55" customFormat="false" ht="14.25" hidden="false" customHeight="false" outlineLevel="0" collapsed="false">
      <c r="A55" s="15" t="n">
        <v>54</v>
      </c>
      <c r="B55" s="15" t="str">
        <f aca="false" t="array" ref="B55:B55">IF(C55="M",INDEX('Random Lists'!$A$2:$A$56,COUNTIF($C$2:C55,"M")),INDEX('Random Lists'!$B$2:$B$55,COUNTIF($C$2:C55,"F")))</f>
        <v>AHMAD DANIAL BIN KAMARUDDIN</v>
      </c>
      <c r="C55" s="15" t="str">
        <f aca="true">IF(COUNTIF($C$2:C54,"M")&gt;=55,"F",IF(COUNTIF($C$2:C54,"F")&gt;=54,"M",IF(RAND()&lt;55/109,"M","F")))</f>
        <v>M</v>
      </c>
      <c r="D55" s="15" t="n">
        <f aca="false">RANDBETWEEN(18,60)</f>
        <v>33</v>
      </c>
      <c r="E55" s="15" t="str">
        <f aca="false">CHOOSE(RANDBETWEEN(1,9),"WNP","WPS","WPC","ENP","EPS","EPC","TNP","TPS","TPC")</f>
        <v>WNP</v>
      </c>
      <c r="F55" s="15" t="str">
        <f aca="false">IF(LEFT(E55,1)="W","N/A",CHOOSE(RANDBETWEEN(1,5),5,10,15,20,25))</f>
        <v>N/A</v>
      </c>
      <c r="G55" s="17" t="n">
        <f aca="false">CHOOSE(RANDBETWEEN(1,11),50000,60000,75000,80000,100000,120000,125000,150000,175000,180000,200000)</f>
        <v>80000</v>
      </c>
      <c r="H55" s="15" t="n">
        <f aca="false">IF(LEFT(E55,1)="W",CHOOSE(RANDBETWEEN(1,5),5,10,15,20,25),RANDBETWEEN(1,F55/5)*5)</f>
        <v>5</v>
      </c>
      <c r="I55" s="18" t="str">
        <f aca="false">IF(RIGHT(E55,2)="NP","None",IF(RIGHT(E55,1)="S","SRB","CRB"))</f>
        <v>None</v>
      </c>
      <c r="J55" s="19" t="n">
        <f aca="false">IF(I55="None",0%,5%)</f>
        <v>0</v>
      </c>
      <c r="K55" s="15" t="n">
        <f aca="false">IF(LEFT(E55,1)="W",RANDBETWEEN(1,10),RANDBETWEEN(1,MIN(10,F55)))</f>
        <v>4</v>
      </c>
    </row>
    <row r="56" customFormat="false" ht="14.25" hidden="false" customHeight="false" outlineLevel="0" collapsed="false">
      <c r="A56" s="15" t="n">
        <v>55</v>
      </c>
      <c r="B56" s="15" t="str">
        <f aca="false" t="array" ref="B56:B56">IF(C56="M",INDEX('Random Lists'!$A$2:$A$56,COUNTIF($C$2:C56,"M")),INDEX('Random Lists'!$B$2:$B$55,COUNTIF($C$2:C56,"F")))</f>
        <v>MUHAMMAD DANISH BIN ALI</v>
      </c>
      <c r="C56" s="15" t="str">
        <f aca="true">IF(COUNTIF($C$2:C55,"M")&gt;=55,"F",IF(COUNTIF($C$2:C55,"F")&gt;=54,"M",IF(RAND()&lt;55/109,"M","F")))</f>
        <v>M</v>
      </c>
      <c r="D56" s="15" t="n">
        <f aca="false">RANDBETWEEN(18,60)</f>
        <v>59</v>
      </c>
      <c r="E56" s="15" t="str">
        <f aca="false">CHOOSE(RANDBETWEEN(1,9),"WNP","WPS","WPC","ENP","EPS","EPC","TNP","TPS","TPC")</f>
        <v>ENP</v>
      </c>
      <c r="F56" s="16" t="n">
        <f aca="false">IF(LEFT(E56,1)="W","N/A",CHOOSE(RANDBETWEEN(1,5),5,10,15,20,25))</f>
        <v>25</v>
      </c>
      <c r="G56" s="17" t="n">
        <f aca="false">CHOOSE(RANDBETWEEN(1,11),50000,60000,75000,80000,100000,120000,125000,150000,175000,180000,200000)</f>
        <v>60000</v>
      </c>
      <c r="H56" s="15" t="n">
        <f aca="false">IF(LEFT(E56,1)="W",CHOOSE(RANDBETWEEN(1,5),5,10,15,20,25),RANDBETWEEN(1,F56/5)*5)</f>
        <v>10</v>
      </c>
      <c r="I56" s="18" t="str">
        <f aca="false">IF(RIGHT(E56,2)="NP","None",IF(RIGHT(E56,1)="S","SRB","CRB"))</f>
        <v>None</v>
      </c>
      <c r="J56" s="19" t="n">
        <f aca="false">IF(I56="None",0%,5%)</f>
        <v>0</v>
      </c>
      <c r="K56" s="15" t="n">
        <f aca="false">IF(LEFT(E56,1)="W",RANDBETWEEN(1,10),RANDBETWEEN(1,MIN(10,F56)))</f>
        <v>6</v>
      </c>
    </row>
    <row r="57" customFormat="false" ht="14.25" hidden="false" customHeight="false" outlineLevel="0" collapsed="false">
      <c r="A57" s="15" t="n">
        <v>56</v>
      </c>
      <c r="B57" s="15" t="str">
        <f aca="false" t="array" ref="B57:B57">IF(C57="M",INDEX('Random Lists'!$A$2:$A$56,COUNTIF($C$2:C57,"M")),INDEX('Random Lists'!$B$2:$B$55,COUNTIF($C$2:C57,"F")))</f>
        <v>MUHAMMAD HAFIZ BIN OSMAN</v>
      </c>
      <c r="C57" s="15" t="str">
        <f aca="true">IF(COUNTIF($C$2:C56,"M")&gt;=55,"F",IF(COUNTIF($C$2:C56,"F")&gt;=54,"M",IF(RAND()&lt;55/109,"M","F")))</f>
        <v>M</v>
      </c>
      <c r="D57" s="15" t="n">
        <f aca="false">RANDBETWEEN(18,60)</f>
        <v>19</v>
      </c>
      <c r="E57" s="15" t="str">
        <f aca="false">CHOOSE(RANDBETWEEN(1,9),"WNP","WPS","WPC","ENP","EPS","EPC","TNP","TPS","TPC")</f>
        <v>TNP</v>
      </c>
      <c r="F57" s="15" t="n">
        <f aca="false">IF(LEFT(E57,1)="W","N/A",CHOOSE(RANDBETWEEN(1,5),5,10,15,20,25))</f>
        <v>10</v>
      </c>
      <c r="G57" s="17" t="n">
        <f aca="false">CHOOSE(RANDBETWEEN(1,11),50000,60000,75000,80000,100000,120000,125000,150000,175000,180000,200000)</f>
        <v>75000</v>
      </c>
      <c r="H57" s="15" t="n">
        <f aca="false">IF(LEFT(E57,1)="W",CHOOSE(RANDBETWEEN(1,5),5,10,15,20,25),RANDBETWEEN(1,F57/5)*5)</f>
        <v>5</v>
      </c>
      <c r="I57" s="18" t="str">
        <f aca="false">IF(RIGHT(E57,2)="NP","None",IF(RIGHT(E57,1)="S","SRB","CRB"))</f>
        <v>None</v>
      </c>
      <c r="J57" s="19" t="n">
        <f aca="false">IF(I57="None",0%,5%)</f>
        <v>0</v>
      </c>
      <c r="K57" s="15" t="n">
        <f aca="false">IF(LEFT(E57,1)="W",RANDBETWEEN(1,10),RANDBETWEEN(1,MIN(10,F57)))</f>
        <v>8</v>
      </c>
    </row>
    <row r="58" customFormat="false" ht="14.25" hidden="false" customHeight="false" outlineLevel="0" collapsed="false">
      <c r="A58" s="15" t="n">
        <v>57</v>
      </c>
      <c r="B58" s="15" t="str">
        <f aca="false" t="array" ref="B58:B58">IF(C58="M",INDEX('Random Lists'!$A$2:$A$56,COUNTIF($C$2:C58,"M")),INDEX('Random Lists'!$B$2:$B$55,COUNTIF($C$2:C58,"F")))</f>
        <v>SITI NURSYAMILAH BINTI RAHMAN</v>
      </c>
      <c r="C58" s="15" t="str">
        <f aca="true">IF(COUNTIF($C$2:C57,"M")&gt;=55,"F",IF(COUNTIF($C$2:C57,"F")&gt;=54,"M",IF(RAND()&lt;55/109,"M","F")))</f>
        <v>F</v>
      </c>
      <c r="D58" s="15" t="n">
        <f aca="false">RANDBETWEEN(18,60)</f>
        <v>37</v>
      </c>
      <c r="E58" s="15" t="str">
        <f aca="false">CHOOSE(RANDBETWEEN(1,9),"WNP","WPS","WPC","ENP","EPS","EPC","TNP","TPS","TPC")</f>
        <v>ENP</v>
      </c>
      <c r="F58" s="15" t="n">
        <f aca="false">IF(LEFT(E58,1)="W","N/A",CHOOSE(RANDBETWEEN(1,5),5,10,15,20,25))</f>
        <v>25</v>
      </c>
      <c r="G58" s="17" t="n">
        <f aca="false">CHOOSE(RANDBETWEEN(1,11),50000,60000,75000,80000,100000,120000,125000,150000,175000,180000,200000)</f>
        <v>125000</v>
      </c>
      <c r="H58" s="15" t="n">
        <f aca="false">IF(LEFT(E58,1)="W",CHOOSE(RANDBETWEEN(1,5),5,10,15,20,25),RANDBETWEEN(1,F58/5)*5)</f>
        <v>5</v>
      </c>
      <c r="I58" s="18" t="str">
        <f aca="false">IF(RIGHT(E58,2)="NP","None",IF(RIGHT(E58,1)="S","SRB","CRB"))</f>
        <v>None</v>
      </c>
      <c r="J58" s="19" t="n">
        <f aca="false">IF(I58="None",0%,5%)</f>
        <v>0</v>
      </c>
      <c r="K58" s="15" t="n">
        <f aca="false">IF(LEFT(E58,1)="W",RANDBETWEEN(1,10),RANDBETWEEN(1,MIN(10,F58)))</f>
        <v>10</v>
      </c>
    </row>
    <row r="59" customFormat="false" ht="14.25" hidden="false" customHeight="false" outlineLevel="0" collapsed="false">
      <c r="A59" s="15" t="n">
        <v>58</v>
      </c>
      <c r="B59" s="15" t="str">
        <f aca="false" t="array" ref="B59:B59">IF(C59="M",INDEX('Random Lists'!$A$2:$A$56,COUNTIF($C$2:C59,"M")),INDEX('Random Lists'!$B$2:$B$55,COUNTIF($C$2:C59,"F")))</f>
        <v>SITI NURSYAHIRAH BINTI YUSOF</v>
      </c>
      <c r="C59" s="15" t="str">
        <f aca="true">IF(COUNTIF($C$2:C58,"M")&gt;=55,"F",IF(COUNTIF($C$2:C58,"F")&gt;=54,"M",IF(RAND()&lt;55/109,"M","F")))</f>
        <v>F</v>
      </c>
      <c r="D59" s="15" t="n">
        <f aca="false">RANDBETWEEN(18,60)</f>
        <v>27</v>
      </c>
      <c r="E59" s="15" t="str">
        <f aca="false">CHOOSE(RANDBETWEEN(1,9),"WNP","WPS","WPC","ENP","EPS","EPC","TNP","TPS","TPC")</f>
        <v>TPC</v>
      </c>
      <c r="F59" s="16" t="n">
        <f aca="false">IF(LEFT(E59,1)="W","N/A",CHOOSE(RANDBETWEEN(1,5),5,10,15,20,25))</f>
        <v>10</v>
      </c>
      <c r="G59" s="17" t="n">
        <f aca="false">CHOOSE(RANDBETWEEN(1,11),50000,60000,75000,80000,100000,120000,125000,150000,175000,180000,200000)</f>
        <v>80000</v>
      </c>
      <c r="H59" s="15" t="n">
        <f aca="false">IF(LEFT(E59,1)="W",CHOOSE(RANDBETWEEN(1,5),5,10,15,20,25),RANDBETWEEN(1,F59/5)*5)</f>
        <v>10</v>
      </c>
      <c r="I59" s="18" t="str">
        <f aca="false">IF(RIGHT(E59,2)="NP","None",IF(RIGHT(E59,1)="S","SRB","CRB"))</f>
        <v>CRB</v>
      </c>
      <c r="J59" s="19" t="n">
        <f aca="false">IF(I59="None",0%,5%)</f>
        <v>0.05</v>
      </c>
      <c r="K59" s="15" t="n">
        <f aca="false">IF(LEFT(E59,1)="W",RANDBETWEEN(1,10),RANDBETWEEN(1,MIN(10,F59)))</f>
        <v>10</v>
      </c>
    </row>
    <row r="60" customFormat="false" ht="14.25" hidden="false" customHeight="false" outlineLevel="0" collapsed="false">
      <c r="A60" s="15" t="n">
        <v>59</v>
      </c>
      <c r="B60" s="15" t="str">
        <f aca="false" t="array" ref="B60:B60">IF(C60="M",INDEX('Random Lists'!$A$2:$A$56,COUNTIF($C$2:C60,"M")),INDEX('Random Lists'!$B$2:$B$55,COUNTIF($C$2:C60,"F")))</f>
        <v>AHMAD FAIZ BIN YAHYA</v>
      </c>
      <c r="C60" s="15" t="str">
        <f aca="true">IF(COUNTIF($C$2:C59,"M")&gt;=55,"F",IF(COUNTIF($C$2:C59,"F")&gt;=54,"M",IF(RAND()&lt;55/109,"M","F")))</f>
        <v>M</v>
      </c>
      <c r="D60" s="15" t="n">
        <f aca="false">RANDBETWEEN(18,60)</f>
        <v>40</v>
      </c>
      <c r="E60" s="15" t="str">
        <f aca="false">CHOOSE(RANDBETWEEN(1,9),"WNP","WPS","WPC","ENP","EPS","EPC","TNP","TPS","TPC")</f>
        <v>EPC</v>
      </c>
      <c r="F60" s="15" t="n">
        <f aca="false">IF(LEFT(E60,1)="W","N/A",CHOOSE(RANDBETWEEN(1,5),5,10,15,20,25))</f>
        <v>20</v>
      </c>
      <c r="G60" s="17" t="n">
        <f aca="false">CHOOSE(RANDBETWEEN(1,11),50000,60000,75000,80000,100000,120000,125000,150000,175000,180000,200000)</f>
        <v>80000</v>
      </c>
      <c r="H60" s="15" t="n">
        <f aca="false">IF(LEFT(E60,1)="W",CHOOSE(RANDBETWEEN(1,5),5,10,15,20,25),RANDBETWEEN(1,F60/5)*5)</f>
        <v>15</v>
      </c>
      <c r="I60" s="18" t="str">
        <f aca="false">IF(RIGHT(E60,2)="NP","None",IF(RIGHT(E60,1)="S","SRB","CRB"))</f>
        <v>CRB</v>
      </c>
      <c r="J60" s="19" t="n">
        <f aca="false">IF(I60="None",0%,5%)</f>
        <v>0.05</v>
      </c>
      <c r="K60" s="15" t="n">
        <f aca="false">IF(LEFT(E60,1)="W",RANDBETWEEN(1,10),RANDBETWEEN(1,MIN(10,F60)))</f>
        <v>6</v>
      </c>
    </row>
    <row r="61" customFormat="false" ht="14.25" hidden="false" customHeight="false" outlineLevel="0" collapsed="false">
      <c r="A61" s="15" t="n">
        <v>60</v>
      </c>
      <c r="B61" s="15" t="str">
        <f aca="false" t="array" ref="B61:B61">IF(C61="M",INDEX('Random Lists'!$A$2:$A$56,COUNTIF($C$2:C61,"M")),INDEX('Random Lists'!$B$2:$B$55,COUNTIF($C$2:C61,"F")))</f>
        <v>MUHAMMAD RIZAL BIN SHUKRI</v>
      </c>
      <c r="C61" s="15" t="str">
        <f aca="true">IF(COUNTIF($C$2:C60,"M")&gt;=55,"F",IF(COUNTIF($C$2:C60,"F")&gt;=54,"M",IF(RAND()&lt;55/109,"M","F")))</f>
        <v>M</v>
      </c>
      <c r="D61" s="15" t="n">
        <f aca="false">RANDBETWEEN(18,60)</f>
        <v>58</v>
      </c>
      <c r="E61" s="15" t="str">
        <f aca="false">CHOOSE(RANDBETWEEN(1,9),"WNP","WPS","WPC","ENP","EPS","EPC","TNP","TPS","TPC")</f>
        <v>WNP</v>
      </c>
      <c r="F61" s="15" t="str">
        <f aca="false">IF(LEFT(E61,1)="W","N/A",CHOOSE(RANDBETWEEN(1,5),5,10,15,20,25))</f>
        <v>N/A</v>
      </c>
      <c r="G61" s="17" t="n">
        <f aca="false">CHOOSE(RANDBETWEEN(1,11),50000,60000,75000,80000,100000,120000,125000,150000,175000,180000,200000)</f>
        <v>50000</v>
      </c>
      <c r="H61" s="15" t="n">
        <f aca="false">IF(LEFT(E61,1)="W",CHOOSE(RANDBETWEEN(1,5),5,10,15,20,25),RANDBETWEEN(1,F61/5)*5)</f>
        <v>5</v>
      </c>
      <c r="I61" s="18" t="str">
        <f aca="false">IF(RIGHT(E61,2)="NP","None",IF(RIGHT(E61,1)="S","SRB","CRB"))</f>
        <v>None</v>
      </c>
      <c r="J61" s="19" t="n">
        <f aca="false">IF(I61="None",0%,5%)</f>
        <v>0</v>
      </c>
      <c r="K61" s="15" t="n">
        <f aca="false">IF(LEFT(E61,1)="W",RANDBETWEEN(1,10),RANDBETWEEN(1,MIN(10,F61)))</f>
        <v>8</v>
      </c>
    </row>
    <row r="62" customFormat="false" ht="14.25" hidden="false" customHeight="false" outlineLevel="0" collapsed="false">
      <c r="A62" s="15" t="n">
        <v>61</v>
      </c>
      <c r="B62" s="15" t="str">
        <f aca="false" t="array" ref="B62:B62">IF(C62="M",INDEX('Random Lists'!$A$2:$A$56,COUNTIF($C$2:C62,"M")),INDEX('Random Lists'!$B$2:$B$55,COUNTIF($C$2:C62,"F")))</f>
        <v>MUHAMMAD HAZREEN BIN JAMAL</v>
      </c>
      <c r="C62" s="15" t="str">
        <f aca="true">IF(COUNTIF($C$2:C61,"M")&gt;=55,"F",IF(COUNTIF($C$2:C61,"F")&gt;=54,"M",IF(RAND()&lt;55/109,"M","F")))</f>
        <v>M</v>
      </c>
      <c r="D62" s="15" t="n">
        <f aca="false">RANDBETWEEN(18,60)</f>
        <v>45</v>
      </c>
      <c r="E62" s="15" t="str">
        <f aca="false">CHOOSE(RANDBETWEEN(1,9),"WNP","WPS","WPC","ENP","EPS","EPC","TNP","TPS","TPC")</f>
        <v>WPC</v>
      </c>
      <c r="F62" s="15" t="str">
        <f aca="false">IF(LEFT(E62,1)="W","N/A",CHOOSE(RANDBETWEEN(1,5),5,10,15,20,25))</f>
        <v>N/A</v>
      </c>
      <c r="G62" s="17" t="n">
        <f aca="false">CHOOSE(RANDBETWEEN(1,11),50000,60000,75000,80000,100000,120000,125000,150000,175000,180000,200000)</f>
        <v>75000</v>
      </c>
      <c r="H62" s="15" t="n">
        <f aca="false">IF(LEFT(E62,1)="W",CHOOSE(RANDBETWEEN(1,5),5,10,15,20,25),RANDBETWEEN(1,F62/5)*5)</f>
        <v>20</v>
      </c>
      <c r="I62" s="18" t="str">
        <f aca="false">IF(RIGHT(E62,2)="NP","None",IF(RIGHT(E62,1)="S","SRB","CRB"))</f>
        <v>CRB</v>
      </c>
      <c r="J62" s="19" t="n">
        <f aca="false">IF(I62="None",0%,5%)</f>
        <v>0.05</v>
      </c>
      <c r="K62" s="15" t="n">
        <f aca="false">IF(LEFT(E62,1)="W",RANDBETWEEN(1,10),RANDBETWEEN(1,MIN(10,F62)))</f>
        <v>5</v>
      </c>
    </row>
    <row r="63" customFormat="false" ht="14.25" hidden="false" customHeight="false" outlineLevel="0" collapsed="false">
      <c r="A63" s="15" t="n">
        <v>62</v>
      </c>
      <c r="B63" s="15" t="str">
        <f aca="false" t="array" ref="B63:B63">IF(C63="M",INDEX('Random Lists'!$A$2:$A$56,COUNTIF($C$2:C63,"M")),INDEX('Random Lists'!$B$2:$B$55,COUNTIF($C$2:C63,"F")))</f>
        <v>AMIRUL HAKIM BIN RAZAK</v>
      </c>
      <c r="C63" s="15" t="str">
        <f aca="true">IF(COUNTIF($C$2:C62,"M")&gt;=55,"F",IF(COUNTIF($C$2:C62,"F")&gt;=54,"M",IF(RAND()&lt;55/109,"M","F")))</f>
        <v>M</v>
      </c>
      <c r="D63" s="15" t="n">
        <f aca="false">RANDBETWEEN(18,60)</f>
        <v>22</v>
      </c>
      <c r="E63" s="15" t="str">
        <f aca="false">CHOOSE(RANDBETWEEN(1,9),"WNP","WPS","WPC","ENP","EPS","EPC","TNP","TPS","TPC")</f>
        <v>TNP</v>
      </c>
      <c r="F63" s="15" t="n">
        <f aca="false">IF(LEFT(E63,1)="W","N/A",CHOOSE(RANDBETWEEN(1,5),5,10,15,20,25))</f>
        <v>15</v>
      </c>
      <c r="G63" s="17" t="n">
        <f aca="false">CHOOSE(RANDBETWEEN(1,11),50000,60000,75000,80000,100000,120000,125000,150000,175000,180000,200000)</f>
        <v>125000</v>
      </c>
      <c r="H63" s="15" t="n">
        <f aca="false">IF(LEFT(E63,1)="W",CHOOSE(RANDBETWEEN(1,5),5,10,15,20,25),RANDBETWEEN(1,F63/5)*5)</f>
        <v>15</v>
      </c>
      <c r="I63" s="18" t="str">
        <f aca="false">IF(RIGHT(E63,2)="NP","None",IF(RIGHT(E63,1)="S","SRB","CRB"))</f>
        <v>None</v>
      </c>
      <c r="J63" s="19" t="n">
        <f aca="false">IF(I63="None",0%,5%)</f>
        <v>0</v>
      </c>
      <c r="K63" s="15" t="n">
        <f aca="false">IF(LEFT(E63,1)="W",RANDBETWEEN(1,10),RANDBETWEEN(1,MIN(10,F63)))</f>
        <v>1</v>
      </c>
    </row>
    <row r="64" customFormat="false" ht="14.25" hidden="false" customHeight="false" outlineLevel="0" collapsed="false">
      <c r="A64" s="15" t="n">
        <v>63</v>
      </c>
      <c r="B64" s="15" t="str">
        <f aca="false" t="array" ref="B64:B64">IF(C64="M",INDEX('Random Lists'!$A$2:$A$56,COUNTIF($C$2:C64,"M")),INDEX('Random Lists'!$B$2:$B$55,COUNTIF($C$2:C64,"F")))</f>
        <v>SITI NURAIN BINTI AZIZ</v>
      </c>
      <c r="C64" s="15" t="str">
        <f aca="true">IF(COUNTIF($C$2:C63,"M")&gt;=55,"F",IF(COUNTIF($C$2:C63,"F")&gt;=54,"M",IF(RAND()&lt;55/109,"M","F")))</f>
        <v>F</v>
      </c>
      <c r="D64" s="15" t="n">
        <f aca="false">RANDBETWEEN(18,60)</f>
        <v>28</v>
      </c>
      <c r="E64" s="15" t="str">
        <f aca="false">CHOOSE(RANDBETWEEN(1,9),"WNP","WPS","WPC","ENP","EPS","EPC","TNP","TPS","TPC")</f>
        <v>WNP</v>
      </c>
      <c r="F64" s="15" t="str">
        <f aca="false">IF(LEFT(E64,1)="W","N/A",CHOOSE(RANDBETWEEN(1,5),5,10,15,20,25))</f>
        <v>N/A</v>
      </c>
      <c r="G64" s="17" t="n">
        <f aca="false">CHOOSE(RANDBETWEEN(1,11),50000,60000,75000,80000,100000,120000,125000,150000,175000,180000,200000)</f>
        <v>150000</v>
      </c>
      <c r="H64" s="15" t="n">
        <f aca="false">IF(LEFT(E64,1)="W",CHOOSE(RANDBETWEEN(1,5),5,10,15,20,25),RANDBETWEEN(1,F64/5)*5)</f>
        <v>25</v>
      </c>
      <c r="I64" s="18" t="str">
        <f aca="false">IF(RIGHT(E64,2)="NP","None",IF(RIGHT(E64,1)="S","SRB","CRB"))</f>
        <v>None</v>
      </c>
      <c r="J64" s="19" t="n">
        <f aca="false">IF(I64="None",0%,5%)</f>
        <v>0</v>
      </c>
      <c r="K64" s="15" t="n">
        <f aca="false">IF(LEFT(E64,1)="W",RANDBETWEEN(1,10),RANDBETWEEN(1,MIN(10,F64)))</f>
        <v>7</v>
      </c>
    </row>
    <row r="65" customFormat="false" ht="14.25" hidden="false" customHeight="false" outlineLevel="0" collapsed="false">
      <c r="A65" s="15" t="n">
        <v>64</v>
      </c>
      <c r="B65" s="15" t="str">
        <f aca="false" t="array" ref="B65:B65">IF(C65="M",INDEX('Random Lists'!$A$2:$A$56,COUNTIF($C$2:C65,"M")),INDEX('Random Lists'!$B$2:$B$55,COUNTIF($C$2:C65,"F")))</f>
        <v>AHMAD FARIS BIN ZAKARIA</v>
      </c>
      <c r="C65" s="15" t="str">
        <f aca="true">IF(COUNTIF($C$2:C64,"M")&gt;=55,"F",IF(COUNTIF($C$2:C64,"F")&gt;=54,"M",IF(RAND()&lt;55/109,"M","F")))</f>
        <v>M</v>
      </c>
      <c r="D65" s="15" t="n">
        <f aca="false">RANDBETWEEN(18,60)</f>
        <v>59</v>
      </c>
      <c r="E65" s="15" t="str">
        <f aca="false">CHOOSE(RANDBETWEEN(1,9),"WNP","WPS","WPC","ENP","EPS","EPC","TNP","TPS","TPC")</f>
        <v>TPS</v>
      </c>
      <c r="F65" s="16" t="n">
        <f aca="false">IF(LEFT(E65,1)="W","N/A",CHOOSE(RANDBETWEEN(1,5),5,10,15,20,25))</f>
        <v>25</v>
      </c>
      <c r="G65" s="17" t="n">
        <f aca="false">CHOOSE(RANDBETWEEN(1,11),50000,60000,75000,80000,100000,120000,125000,150000,175000,180000,200000)</f>
        <v>75000</v>
      </c>
      <c r="H65" s="15" t="n">
        <f aca="false">IF(LEFT(E65,1)="W",CHOOSE(RANDBETWEEN(1,5),5,10,15,20,25),RANDBETWEEN(1,F65/5)*5)</f>
        <v>25</v>
      </c>
      <c r="I65" s="18" t="str">
        <f aca="false">IF(RIGHT(E65,2)="NP","None",IF(RIGHT(E65,1)="S","SRB","CRB"))</f>
        <v>SRB</v>
      </c>
      <c r="J65" s="19" t="n">
        <f aca="false">IF(I65="None",0%,5%)</f>
        <v>0.05</v>
      </c>
      <c r="K65" s="15" t="n">
        <f aca="false">IF(LEFT(E65,1)="W",RANDBETWEEN(1,10),RANDBETWEEN(1,MIN(10,F65)))</f>
        <v>5</v>
      </c>
    </row>
    <row r="66" customFormat="false" ht="14.25" hidden="false" customHeight="false" outlineLevel="0" collapsed="false">
      <c r="A66" s="15" t="n">
        <v>65</v>
      </c>
      <c r="B66" s="15" t="str">
        <f aca="false" t="array" ref="B66:B66">IF(C66="M",INDEX('Random Lists'!$A$2:$A$56,COUNTIF($C$2:C66,"M")),INDEX('Random Lists'!$B$2:$B$55,COUNTIF($C$2:C66,"F")))</f>
        <v>NURUL AFIFAH BINTI RAHMAN</v>
      </c>
      <c r="C66" s="15" t="str">
        <f aca="true">IF(COUNTIF($C$2:C65,"M")&gt;=55,"F",IF(COUNTIF($C$2:C65,"F")&gt;=54,"M",IF(RAND()&lt;55/109,"M","F")))</f>
        <v>F</v>
      </c>
      <c r="D66" s="15" t="n">
        <f aca="false">RANDBETWEEN(18,60)</f>
        <v>47</v>
      </c>
      <c r="E66" s="15" t="str">
        <f aca="false">CHOOSE(RANDBETWEEN(1,9),"WNP","WPS","WPC","ENP","EPS","EPC","TNP","TPS","TPC")</f>
        <v>WPS</v>
      </c>
      <c r="F66" s="15" t="str">
        <f aca="false">IF(LEFT(E66,1)="W","N/A",CHOOSE(RANDBETWEEN(1,5),5,10,15,20,25))</f>
        <v>N/A</v>
      </c>
      <c r="G66" s="17" t="n">
        <f aca="false">CHOOSE(RANDBETWEEN(1,11),50000,60000,75000,80000,100000,120000,125000,150000,175000,180000,200000)</f>
        <v>50000</v>
      </c>
      <c r="H66" s="15" t="n">
        <f aca="false">IF(LEFT(E66,1)="W",CHOOSE(RANDBETWEEN(1,5),5,10,15,20,25),RANDBETWEEN(1,F66/5)*5)</f>
        <v>5</v>
      </c>
      <c r="I66" s="18" t="str">
        <f aca="false">IF(RIGHT(E66,2)="NP","None",IF(RIGHT(E66,1)="S","SRB","CRB"))</f>
        <v>SRB</v>
      </c>
      <c r="J66" s="19" t="n">
        <f aca="false">IF(I66="None",0%,5%)</f>
        <v>0.05</v>
      </c>
      <c r="K66" s="15" t="n">
        <f aca="false">IF(LEFT(E66,1)="W",RANDBETWEEN(1,10),RANDBETWEEN(1,MIN(10,F66)))</f>
        <v>5</v>
      </c>
    </row>
    <row r="67" customFormat="false" ht="14.25" hidden="false" customHeight="false" outlineLevel="0" collapsed="false">
      <c r="A67" s="15" t="n">
        <v>66</v>
      </c>
      <c r="B67" s="15" t="str">
        <f aca="false" t="array" ref="B67:B67">IF(C67="M",INDEX('Random Lists'!$A$2:$A$56,COUNTIF($C$2:C67,"M")),INDEX('Random Lists'!$B$2:$B$55,COUNTIF($C$2:C67,"F")))</f>
        <v>NUR AINUL MARDHIYAH BINTI KAMAL</v>
      </c>
      <c r="C67" s="15" t="str">
        <f aca="true">IF(COUNTIF($C$2:C66,"M")&gt;=55,"F",IF(COUNTIF($C$2:C66,"F")&gt;=54,"M",IF(RAND()&lt;55/109,"M","F")))</f>
        <v>F</v>
      </c>
      <c r="D67" s="15" t="n">
        <f aca="false">RANDBETWEEN(18,60)</f>
        <v>35</v>
      </c>
      <c r="E67" s="15" t="str">
        <f aca="false">CHOOSE(RANDBETWEEN(1,9),"WNP","WPS","WPC","ENP","EPS","EPC","TNP","TPS","TPC")</f>
        <v>WPS</v>
      </c>
      <c r="F67" s="15" t="str">
        <f aca="false">IF(LEFT(E67,1)="W","N/A",CHOOSE(RANDBETWEEN(1,5),5,10,15,20,25))</f>
        <v>N/A</v>
      </c>
      <c r="G67" s="17" t="n">
        <f aca="false">CHOOSE(RANDBETWEEN(1,11),50000,60000,75000,80000,100000,120000,125000,150000,175000,180000,200000)</f>
        <v>125000</v>
      </c>
      <c r="H67" s="15" t="n">
        <f aca="false">IF(LEFT(E67,1)="W",CHOOSE(RANDBETWEEN(1,5),5,10,15,20,25),RANDBETWEEN(1,F67/5)*5)</f>
        <v>5</v>
      </c>
      <c r="I67" s="18" t="str">
        <f aca="false">IF(RIGHT(E67,2)="NP","None",IF(RIGHT(E67,1)="S","SRB","CRB"))</f>
        <v>SRB</v>
      </c>
      <c r="J67" s="19" t="n">
        <f aca="false">IF(I67="None",0%,5%)</f>
        <v>0.05</v>
      </c>
      <c r="K67" s="15" t="n">
        <f aca="false">IF(LEFT(E67,1)="W",RANDBETWEEN(1,10),RANDBETWEEN(1,MIN(10,F67)))</f>
        <v>2</v>
      </c>
    </row>
    <row r="68" customFormat="false" ht="14.25" hidden="false" customHeight="false" outlineLevel="0" collapsed="false">
      <c r="A68" s="15" t="n">
        <v>67</v>
      </c>
      <c r="B68" s="15" t="str">
        <f aca="false" t="array" ref="B68:B68">IF(C68="M",INDEX('Random Lists'!$A$2:$A$56,COUNTIF($C$2:C68,"M")),INDEX('Random Lists'!$B$2:$B$55,COUNTIF($C$2:C68,"F")))</f>
        <v>NUR AISYAH BINTI KHALID</v>
      </c>
      <c r="C68" s="15" t="str">
        <f aca="true">IF(COUNTIF($C$2:C67,"M")&gt;=55,"F",IF(COUNTIF($C$2:C67,"F")&gt;=54,"M",IF(RAND()&lt;55/109,"M","F")))</f>
        <v>F</v>
      </c>
      <c r="D68" s="15" t="n">
        <f aca="false">RANDBETWEEN(18,60)</f>
        <v>32</v>
      </c>
      <c r="E68" s="15" t="str">
        <f aca="false">CHOOSE(RANDBETWEEN(1,9),"WNP","WPS","WPC","ENP","EPS","EPC","TNP","TPS","TPC")</f>
        <v>WPC</v>
      </c>
      <c r="F68" s="15" t="str">
        <f aca="false">IF(LEFT(E68,1)="W","N/A",CHOOSE(RANDBETWEEN(1,5),5,10,15,20,25))</f>
        <v>N/A</v>
      </c>
      <c r="G68" s="17" t="n">
        <f aca="false">CHOOSE(RANDBETWEEN(1,11),50000,60000,75000,80000,100000,120000,125000,150000,175000,180000,200000)</f>
        <v>180000</v>
      </c>
      <c r="H68" s="15" t="n">
        <f aca="false">IF(LEFT(E68,1)="W",CHOOSE(RANDBETWEEN(1,5),5,10,15,20,25),RANDBETWEEN(1,F68/5)*5)</f>
        <v>10</v>
      </c>
      <c r="I68" s="18" t="str">
        <f aca="false">IF(RIGHT(E68,2)="NP","None",IF(RIGHT(E68,1)="S","SRB","CRB"))</f>
        <v>CRB</v>
      </c>
      <c r="J68" s="19" t="n">
        <f aca="false">IF(I68="None",0%,5%)</f>
        <v>0.05</v>
      </c>
      <c r="K68" s="15" t="n">
        <f aca="false">IF(LEFT(E68,1)="W",RANDBETWEEN(1,10),RANDBETWEEN(1,MIN(10,F68)))</f>
        <v>6</v>
      </c>
    </row>
    <row r="69" customFormat="false" ht="14.25" hidden="false" customHeight="false" outlineLevel="0" collapsed="false">
      <c r="A69" s="15" t="n">
        <v>68</v>
      </c>
      <c r="B69" s="15" t="str">
        <f aca="false" t="array" ref="B69:B69">IF(C69="M",INDEX('Random Lists'!$A$2:$A$56,COUNTIF($C$2:C69,"M")),INDEX('Random Lists'!$B$2:$B$55,COUNTIF($C$2:C69,"F")))</f>
        <v>AHMAD RIZQI BIN HALIM</v>
      </c>
      <c r="C69" s="15" t="str">
        <f aca="true">IF(COUNTIF($C$2:C68,"M")&gt;=55,"F",IF(COUNTIF($C$2:C68,"F")&gt;=54,"M",IF(RAND()&lt;55/109,"M","F")))</f>
        <v>M</v>
      </c>
      <c r="D69" s="15" t="n">
        <f aca="false">RANDBETWEEN(18,60)</f>
        <v>52</v>
      </c>
      <c r="E69" s="15" t="str">
        <f aca="false">CHOOSE(RANDBETWEEN(1,9),"WNP","WPS","WPC","ENP","EPS","EPC","TNP","TPS","TPC")</f>
        <v>TPC</v>
      </c>
      <c r="F69" s="15" t="n">
        <f aca="false">IF(LEFT(E69,1)="W","N/A",CHOOSE(RANDBETWEEN(1,5),5,10,15,20,25))</f>
        <v>15</v>
      </c>
      <c r="G69" s="17" t="n">
        <f aca="false">CHOOSE(RANDBETWEEN(1,11),50000,60000,75000,80000,100000,120000,125000,150000,175000,180000,200000)</f>
        <v>180000</v>
      </c>
      <c r="H69" s="15" t="n">
        <f aca="false">IF(LEFT(E69,1)="W",CHOOSE(RANDBETWEEN(1,5),5,10,15,20,25),RANDBETWEEN(1,F69/5)*5)</f>
        <v>10</v>
      </c>
      <c r="I69" s="18" t="str">
        <f aca="false">IF(RIGHT(E69,2)="NP","None",IF(RIGHT(E69,1)="S","SRB","CRB"))</f>
        <v>CRB</v>
      </c>
      <c r="J69" s="19" t="n">
        <f aca="false">IF(I69="None",0%,5%)</f>
        <v>0.05</v>
      </c>
      <c r="K69" s="15" t="n">
        <f aca="false">IF(LEFT(E69,1)="W",RANDBETWEEN(1,10),RANDBETWEEN(1,MIN(10,F69)))</f>
        <v>10</v>
      </c>
    </row>
    <row r="70" customFormat="false" ht="14.25" hidden="false" customHeight="false" outlineLevel="0" collapsed="false">
      <c r="A70" s="15" t="n">
        <v>69</v>
      </c>
      <c r="B70" s="15" t="str">
        <f aca="false" t="array" ref="B70:B70">IF(C70="M",INDEX('Random Lists'!$A$2:$A$56,COUNTIF($C$2:C70,"M")),INDEX('Random Lists'!$B$2:$B$55,COUNTIF($C$2:C70,"F")))</f>
        <v>MUHAMMAD AKMAL BIN AZMAN</v>
      </c>
      <c r="C70" s="15" t="str">
        <f aca="true">IF(COUNTIF($C$2:C69,"M")&gt;=55,"F",IF(COUNTIF($C$2:C69,"F")&gt;=54,"M",IF(RAND()&lt;55/109,"M","F")))</f>
        <v>M</v>
      </c>
      <c r="D70" s="15" t="n">
        <f aca="false">RANDBETWEEN(18,60)</f>
        <v>49</v>
      </c>
      <c r="E70" s="15" t="str">
        <f aca="false">CHOOSE(RANDBETWEEN(1,9),"WNP","WPS","WPC","ENP","EPS","EPC","TNP","TPS","TPC")</f>
        <v>EPC</v>
      </c>
      <c r="F70" s="15" t="n">
        <f aca="false">IF(LEFT(E70,1)="W","N/A",CHOOSE(RANDBETWEEN(1,5),5,10,15,20,25))</f>
        <v>10</v>
      </c>
      <c r="G70" s="17" t="n">
        <f aca="false">CHOOSE(RANDBETWEEN(1,11),50000,60000,75000,80000,100000,120000,125000,150000,175000,180000,200000)</f>
        <v>120000</v>
      </c>
      <c r="H70" s="15" t="n">
        <f aca="false">IF(LEFT(E70,1)="W",CHOOSE(RANDBETWEEN(1,5),5,10,15,20,25),RANDBETWEEN(1,F70/5)*5)</f>
        <v>10</v>
      </c>
      <c r="I70" s="18" t="str">
        <f aca="false">IF(RIGHT(E70,2)="NP","None",IF(RIGHT(E70,1)="S","SRB","CRB"))</f>
        <v>CRB</v>
      </c>
      <c r="J70" s="19" t="n">
        <f aca="false">IF(I70="None",0%,5%)</f>
        <v>0.05</v>
      </c>
      <c r="K70" s="15" t="n">
        <f aca="false">IF(LEFT(E70,1)="W",RANDBETWEEN(1,10),RANDBETWEEN(1,MIN(10,F70)))</f>
        <v>2</v>
      </c>
    </row>
    <row r="71" customFormat="false" ht="14.25" hidden="false" customHeight="false" outlineLevel="0" collapsed="false">
      <c r="A71" s="15" t="n">
        <v>70</v>
      </c>
      <c r="B71" s="15" t="str">
        <f aca="false" t="array" ref="B71:B71">IF(C71="M",INDEX('Random Lists'!$A$2:$A$56,COUNTIF($C$2:C71,"M")),INDEX('Random Lists'!$B$2:$B$55,COUNTIF($C$2:C71,"F")))</f>
        <v>SITI NURFARHANA BINTI YAHYA</v>
      </c>
      <c r="C71" s="15" t="str">
        <f aca="true">IF(COUNTIF($C$2:C70,"M")&gt;=55,"F",IF(COUNTIF($C$2:C70,"F")&gt;=54,"M",IF(RAND()&lt;55/109,"M","F")))</f>
        <v>F</v>
      </c>
      <c r="D71" s="15" t="n">
        <f aca="false">RANDBETWEEN(18,60)</f>
        <v>52</v>
      </c>
      <c r="E71" s="15" t="str">
        <f aca="false">CHOOSE(RANDBETWEEN(1,9),"WNP","WPS","WPC","ENP","EPS","EPC","TNP","TPS","TPC")</f>
        <v>WPS</v>
      </c>
      <c r="F71" s="15" t="str">
        <f aca="false">IF(LEFT(E71,1)="W","N/A",CHOOSE(RANDBETWEEN(1,5),5,10,15,20,25))</f>
        <v>N/A</v>
      </c>
      <c r="G71" s="17" t="n">
        <f aca="false">CHOOSE(RANDBETWEEN(1,11),50000,60000,75000,80000,100000,120000,125000,150000,175000,180000,200000)</f>
        <v>50000</v>
      </c>
      <c r="H71" s="15" t="n">
        <f aca="false">IF(LEFT(E71,1)="W",CHOOSE(RANDBETWEEN(1,5),5,10,15,20,25),RANDBETWEEN(1,F71/5)*5)</f>
        <v>20</v>
      </c>
      <c r="I71" s="18" t="str">
        <f aca="false">IF(RIGHT(E71,2)="NP","None",IF(RIGHT(E71,1)="S","SRB","CRB"))</f>
        <v>SRB</v>
      </c>
      <c r="J71" s="19" t="n">
        <f aca="false">IF(I71="None",0%,5%)</f>
        <v>0.05</v>
      </c>
      <c r="K71" s="15" t="n">
        <f aca="false">IF(LEFT(E71,1)="W",RANDBETWEEN(1,10),RANDBETWEEN(1,MIN(10,F71)))</f>
        <v>4</v>
      </c>
    </row>
    <row r="72" customFormat="false" ht="14.25" hidden="false" customHeight="false" outlineLevel="0" collapsed="false">
      <c r="A72" s="15" t="n">
        <v>71</v>
      </c>
      <c r="B72" s="15" t="str">
        <f aca="false" t="array" ref="B72:B72">IF(C72="M",INDEX('Random Lists'!$A$2:$A$56,COUNTIF($C$2:C72,"M")),INDEX('Random Lists'!$B$2:$B$55,COUNTIF($C$2:C72,"F")))</f>
        <v>AHMAD ZULHILMI BIN OMAR</v>
      </c>
      <c r="C72" s="15" t="str">
        <f aca="true">IF(COUNTIF($C$2:C71,"M")&gt;=55,"F",IF(COUNTIF($C$2:C71,"F")&gt;=54,"M",IF(RAND()&lt;55/109,"M","F")))</f>
        <v>M</v>
      </c>
      <c r="D72" s="15" t="n">
        <f aca="false">RANDBETWEEN(18,60)</f>
        <v>24</v>
      </c>
      <c r="E72" s="15" t="str">
        <f aca="false">CHOOSE(RANDBETWEEN(1,9),"WNP","WPS","WPC","ENP","EPS","EPC","TNP","TPS","TPC")</f>
        <v>WNP</v>
      </c>
      <c r="F72" s="15" t="str">
        <f aca="false">IF(LEFT(E72,1)="W","N/A",CHOOSE(RANDBETWEEN(1,5),5,10,15,20,25))</f>
        <v>N/A</v>
      </c>
      <c r="G72" s="17" t="n">
        <f aca="false">CHOOSE(RANDBETWEEN(1,11),50000,60000,75000,80000,100000,120000,125000,150000,175000,180000,200000)</f>
        <v>60000</v>
      </c>
      <c r="H72" s="15" t="n">
        <f aca="false">IF(LEFT(E72,1)="W",CHOOSE(RANDBETWEEN(1,5),5,10,15,20,25),RANDBETWEEN(1,F72/5)*5)</f>
        <v>15</v>
      </c>
      <c r="I72" s="18" t="str">
        <f aca="false">IF(RIGHT(E72,2)="NP","None",IF(RIGHT(E72,1)="S","SRB","CRB"))</f>
        <v>None</v>
      </c>
      <c r="J72" s="19" t="n">
        <f aca="false">IF(I72="None",0%,5%)</f>
        <v>0</v>
      </c>
      <c r="K72" s="15" t="n">
        <f aca="false">IF(LEFT(E72,1)="W",RANDBETWEEN(1,10),RANDBETWEEN(1,MIN(10,F72)))</f>
        <v>7</v>
      </c>
    </row>
    <row r="73" customFormat="false" ht="14.25" hidden="false" customHeight="false" outlineLevel="0" collapsed="false">
      <c r="A73" s="15" t="n">
        <v>72</v>
      </c>
      <c r="B73" s="15" t="str">
        <f aca="false" t="array" ref="B73:B73">IF(C73="M",INDEX('Random Lists'!$A$2:$A$56,COUNTIF($C$2:C73,"M")),INDEX('Random Lists'!$B$2:$B$55,COUNTIF($C$2:C73,"F")))</f>
        <v>AHMAD HAZIQ BIN RAHMAN</v>
      </c>
      <c r="C73" s="15" t="str">
        <f aca="true">IF(COUNTIF($C$2:C72,"M")&gt;=55,"F",IF(COUNTIF($C$2:C72,"F")&gt;=54,"M",IF(RAND()&lt;55/109,"M","F")))</f>
        <v>M</v>
      </c>
      <c r="D73" s="15" t="n">
        <f aca="false">RANDBETWEEN(18,60)</f>
        <v>20</v>
      </c>
      <c r="E73" s="15" t="str">
        <f aca="false">CHOOSE(RANDBETWEEN(1,9),"WNP","WPS","WPC","ENP","EPS","EPC","TNP","TPS","TPC")</f>
        <v>WNP</v>
      </c>
      <c r="F73" s="15" t="str">
        <f aca="false">IF(LEFT(E73,1)="W","N/A",CHOOSE(RANDBETWEEN(1,5),5,10,15,20,25))</f>
        <v>N/A</v>
      </c>
      <c r="G73" s="17" t="n">
        <f aca="false">CHOOSE(RANDBETWEEN(1,11),50000,60000,75000,80000,100000,120000,125000,150000,175000,180000,200000)</f>
        <v>200000</v>
      </c>
      <c r="H73" s="15" t="n">
        <f aca="false">IF(LEFT(E73,1)="W",CHOOSE(RANDBETWEEN(1,5),5,10,15,20,25),RANDBETWEEN(1,F73/5)*5)</f>
        <v>10</v>
      </c>
      <c r="I73" s="18" t="str">
        <f aca="false">IF(RIGHT(E73,2)="NP","None",IF(RIGHT(E73,1)="S","SRB","CRB"))</f>
        <v>None</v>
      </c>
      <c r="J73" s="19" t="n">
        <f aca="false">IF(I73="None",0%,5%)</f>
        <v>0</v>
      </c>
      <c r="K73" s="15" t="n">
        <f aca="false">IF(LEFT(E73,1)="W",RANDBETWEEN(1,10),RANDBETWEEN(1,MIN(10,F73)))</f>
        <v>6</v>
      </c>
    </row>
    <row r="74" customFormat="false" ht="14.25" hidden="false" customHeight="false" outlineLevel="0" collapsed="false">
      <c r="A74" s="15" t="n">
        <v>73</v>
      </c>
      <c r="B74" s="15" t="str">
        <f aca="false" t="array" ref="B74:B74">IF(C74="M",INDEX('Random Lists'!$A$2:$A$56,COUNTIF($C$2:C74,"M")),INDEX('Random Lists'!$B$2:$B$55,COUNTIF($C$2:C74,"F")))</f>
        <v>AHMAD ZAFRAN BIN RAHMAN</v>
      </c>
      <c r="C74" s="15" t="str">
        <f aca="true">IF(COUNTIF($C$2:C73,"M")&gt;=55,"F",IF(COUNTIF($C$2:C73,"F")&gt;=54,"M",IF(RAND()&lt;55/109,"M","F")))</f>
        <v>M</v>
      </c>
      <c r="D74" s="15" t="n">
        <f aca="false">RANDBETWEEN(18,60)</f>
        <v>60</v>
      </c>
      <c r="E74" s="15" t="str">
        <f aca="false">CHOOSE(RANDBETWEEN(1,9),"WNP","WPS","WPC","ENP","EPS","EPC","TNP","TPS","TPC")</f>
        <v>WPS</v>
      </c>
      <c r="F74" s="15" t="str">
        <f aca="false">IF(LEFT(E74,1)="W","N/A",CHOOSE(RANDBETWEEN(1,5),5,10,15,20,25))</f>
        <v>N/A</v>
      </c>
      <c r="G74" s="17" t="n">
        <f aca="false">CHOOSE(RANDBETWEEN(1,11),50000,60000,75000,80000,100000,120000,125000,150000,175000,180000,200000)</f>
        <v>60000</v>
      </c>
      <c r="H74" s="15" t="n">
        <f aca="false">IF(LEFT(E74,1)="W",CHOOSE(RANDBETWEEN(1,5),5,10,15,20,25),RANDBETWEEN(1,F74/5)*5)</f>
        <v>15</v>
      </c>
      <c r="I74" s="18" t="str">
        <f aca="false">IF(RIGHT(E74,2)="NP","None",IF(RIGHT(E74,1)="S","SRB","CRB"))</f>
        <v>SRB</v>
      </c>
      <c r="J74" s="19" t="n">
        <f aca="false">IF(I74="None",0%,5%)</f>
        <v>0.05</v>
      </c>
      <c r="K74" s="15" t="n">
        <f aca="false">IF(LEFT(E74,1)="W",RANDBETWEEN(1,10),RANDBETWEEN(1,MIN(10,F74)))</f>
        <v>9</v>
      </c>
    </row>
    <row r="75" customFormat="false" ht="14.25" hidden="false" customHeight="false" outlineLevel="0" collapsed="false">
      <c r="A75" s="15" t="n">
        <v>74</v>
      </c>
      <c r="B75" s="15" t="str">
        <f aca="false" t="array" ref="B75:B75">IF(C75="M",INDEX('Random Lists'!$A$2:$A$56,COUNTIF($C$2:C75,"M")),INDEX('Random Lists'!$B$2:$B$55,COUNTIF($C$2:C75,"F")))</f>
        <v>SITI NURAINA BINTI RAMLI</v>
      </c>
      <c r="C75" s="15" t="str">
        <f aca="true">IF(COUNTIF($C$2:C74,"M")&gt;=55,"F",IF(COUNTIF($C$2:C74,"F")&gt;=54,"M",IF(RAND()&lt;55/109,"M","F")))</f>
        <v>F</v>
      </c>
      <c r="D75" s="15" t="n">
        <f aca="false">RANDBETWEEN(18,60)</f>
        <v>40</v>
      </c>
      <c r="E75" s="15" t="str">
        <f aca="false">CHOOSE(RANDBETWEEN(1,9),"WNP","WPS","WPC","ENP","EPS","EPC","TNP","TPS","TPC")</f>
        <v>EPS</v>
      </c>
      <c r="F75" s="15" t="n">
        <f aca="false">IF(LEFT(E75,1)="W","N/A",CHOOSE(RANDBETWEEN(1,5),5,10,15,20,25))</f>
        <v>25</v>
      </c>
      <c r="G75" s="17" t="n">
        <f aca="false">CHOOSE(RANDBETWEEN(1,11),50000,60000,75000,80000,100000,120000,125000,150000,175000,180000,200000)</f>
        <v>180000</v>
      </c>
      <c r="H75" s="15" t="n">
        <f aca="false">IF(LEFT(E75,1)="W",CHOOSE(RANDBETWEEN(1,5),5,10,15,20,25),RANDBETWEEN(1,F75/5)*5)</f>
        <v>5</v>
      </c>
      <c r="I75" s="18" t="str">
        <f aca="false">IF(RIGHT(E75,2)="NP","None",IF(RIGHT(E75,1)="S","SRB","CRB"))</f>
        <v>SRB</v>
      </c>
      <c r="J75" s="19" t="n">
        <f aca="false">IF(I75="None",0%,5%)</f>
        <v>0.05</v>
      </c>
      <c r="K75" s="15" t="n">
        <f aca="false">IF(LEFT(E75,1)="W",RANDBETWEEN(1,10),RANDBETWEEN(1,MIN(10,F75)))</f>
        <v>9</v>
      </c>
    </row>
    <row r="76" customFormat="false" ht="14.25" hidden="false" customHeight="false" outlineLevel="0" collapsed="false">
      <c r="A76" s="15" t="n">
        <v>75</v>
      </c>
      <c r="B76" s="15" t="str">
        <f aca="false" t="array" ref="B76:B76">IF(C76="M",INDEX('Random Lists'!$A$2:$A$56,COUNTIF($C$2:C76,"M")),INDEX('Random Lists'!$B$2:$B$55,COUNTIF($C$2:C76,"F")))</f>
        <v>NUR ATHIRAH BINTI AZIZ</v>
      </c>
      <c r="C76" s="15" t="str">
        <f aca="true">IF(COUNTIF($C$2:C75,"M")&gt;=55,"F",IF(COUNTIF($C$2:C75,"F")&gt;=54,"M",IF(RAND()&lt;55/109,"M","F")))</f>
        <v>F</v>
      </c>
      <c r="D76" s="15" t="n">
        <f aca="false">RANDBETWEEN(18,60)</f>
        <v>27</v>
      </c>
      <c r="E76" s="15" t="str">
        <f aca="false">CHOOSE(RANDBETWEEN(1,9),"WNP","WPS","WPC","ENP","EPS","EPC","TNP","TPS","TPC")</f>
        <v>TPS</v>
      </c>
      <c r="F76" s="15" t="n">
        <f aca="false">IF(LEFT(E76,1)="W","N/A",CHOOSE(RANDBETWEEN(1,5),5,10,15,20,25))</f>
        <v>20</v>
      </c>
      <c r="G76" s="17" t="n">
        <f aca="false">CHOOSE(RANDBETWEEN(1,11),50000,60000,75000,80000,100000,120000,125000,150000,175000,180000,200000)</f>
        <v>150000</v>
      </c>
      <c r="H76" s="15" t="n">
        <f aca="false">IF(LEFT(E76,1)="W",CHOOSE(RANDBETWEEN(1,5),5,10,15,20,25),RANDBETWEEN(1,F76/5)*5)</f>
        <v>5</v>
      </c>
      <c r="I76" s="18" t="str">
        <f aca="false">IF(RIGHT(E76,2)="NP","None",IF(RIGHT(E76,1)="S","SRB","CRB"))</f>
        <v>SRB</v>
      </c>
      <c r="J76" s="19" t="n">
        <f aca="false">IF(I76="None",0%,5%)</f>
        <v>0.05</v>
      </c>
      <c r="K76" s="15" t="n">
        <f aca="false">IF(LEFT(E76,1)="W",RANDBETWEEN(1,10),RANDBETWEEN(1,MIN(10,F76)))</f>
        <v>9</v>
      </c>
    </row>
    <row r="77" customFormat="false" ht="14.25" hidden="false" customHeight="false" outlineLevel="0" collapsed="false">
      <c r="A77" s="15" t="n">
        <v>76</v>
      </c>
      <c r="B77" s="15" t="str">
        <f aca="false" t="array" ref="B77:B77">IF(C77="M",INDEX('Random Lists'!$A$2:$A$56,COUNTIF($C$2:C77,"M")),INDEX('Random Lists'!$B$2:$B$55,COUNTIF($C$2:C77,"F")))</f>
        <v>AHMAD FIRDAUS BIN ISMAIL</v>
      </c>
      <c r="C77" s="15" t="str">
        <f aca="true">IF(COUNTIF($C$2:C76,"M")&gt;=55,"F",IF(COUNTIF($C$2:C76,"F")&gt;=54,"M",IF(RAND()&lt;55/109,"M","F")))</f>
        <v>M</v>
      </c>
      <c r="D77" s="15" t="n">
        <f aca="false">RANDBETWEEN(18,60)</f>
        <v>44</v>
      </c>
      <c r="E77" s="15" t="str">
        <f aca="false">CHOOSE(RANDBETWEEN(1,9),"WNP","WPS","WPC","ENP","EPS","EPC","TNP","TPS","TPC")</f>
        <v>TPC</v>
      </c>
      <c r="F77" s="15" t="n">
        <f aca="false">IF(LEFT(E77,1)="W","N/A",CHOOSE(RANDBETWEEN(1,5),5,10,15,20,25))</f>
        <v>15</v>
      </c>
      <c r="G77" s="17" t="n">
        <f aca="false">CHOOSE(RANDBETWEEN(1,11),50000,60000,75000,80000,100000,120000,125000,150000,175000,180000,200000)</f>
        <v>50000</v>
      </c>
      <c r="H77" s="15" t="n">
        <f aca="false">IF(LEFT(E77,1)="W",CHOOSE(RANDBETWEEN(1,5),5,10,15,20,25),RANDBETWEEN(1,F77/5)*5)</f>
        <v>5</v>
      </c>
      <c r="I77" s="18" t="str">
        <f aca="false">IF(RIGHT(E77,2)="NP","None",IF(RIGHT(E77,1)="S","SRB","CRB"))</f>
        <v>CRB</v>
      </c>
      <c r="J77" s="19" t="n">
        <f aca="false">IF(I77="None",0%,5%)</f>
        <v>0.05</v>
      </c>
      <c r="K77" s="15" t="n">
        <f aca="false">IF(LEFT(E77,1)="W",RANDBETWEEN(1,10),RANDBETWEEN(1,MIN(10,F77)))</f>
        <v>1</v>
      </c>
    </row>
    <row r="78" customFormat="false" ht="14.25" hidden="false" customHeight="false" outlineLevel="0" collapsed="false">
      <c r="A78" s="15" t="n">
        <v>77</v>
      </c>
      <c r="B78" s="15" t="str">
        <f aca="false" t="array" ref="B78:B78">IF(C78="M",INDEX('Random Lists'!$A$2:$A$56,COUNTIF($C$2:C78,"M")),INDEX('Random Lists'!$B$2:$B$55,COUNTIF($C$2:C78,"F")))</f>
        <v>NUR AINA BINTI RAZAK</v>
      </c>
      <c r="C78" s="15" t="str">
        <f aca="true">IF(COUNTIF($C$2:C77,"M")&gt;=55,"F",IF(COUNTIF($C$2:C77,"F")&gt;=54,"M",IF(RAND()&lt;55/109,"M","F")))</f>
        <v>F</v>
      </c>
      <c r="D78" s="15" t="n">
        <f aca="false">RANDBETWEEN(18,60)</f>
        <v>39</v>
      </c>
      <c r="E78" s="15" t="str">
        <f aca="false">CHOOSE(RANDBETWEEN(1,9),"WNP","WPS","WPC","ENP","EPS","EPC","TNP","TPS","TPC")</f>
        <v>WPS</v>
      </c>
      <c r="F78" s="15" t="str">
        <f aca="false">IF(LEFT(E78,1)="W","N/A",CHOOSE(RANDBETWEEN(1,5),5,10,15,20,25))</f>
        <v>N/A</v>
      </c>
      <c r="G78" s="17" t="n">
        <f aca="false">CHOOSE(RANDBETWEEN(1,11),50000,60000,75000,80000,100000,120000,125000,150000,175000,180000,200000)</f>
        <v>150000</v>
      </c>
      <c r="H78" s="15" t="n">
        <f aca="false">IF(LEFT(E78,1)="W",CHOOSE(RANDBETWEEN(1,5),5,10,15,20,25),RANDBETWEEN(1,F78/5)*5)</f>
        <v>15</v>
      </c>
      <c r="I78" s="18" t="str">
        <f aca="false">IF(RIGHT(E78,2)="NP","None",IF(RIGHT(E78,1)="S","SRB","CRB"))</f>
        <v>SRB</v>
      </c>
      <c r="J78" s="19" t="n">
        <f aca="false">IF(I78="None",0%,5%)</f>
        <v>0.05</v>
      </c>
      <c r="K78" s="15" t="n">
        <f aca="false">IF(LEFT(E78,1)="W",RANDBETWEEN(1,10),RANDBETWEEN(1,MIN(10,F78)))</f>
        <v>5</v>
      </c>
    </row>
    <row r="79" customFormat="false" ht="14.25" hidden="false" customHeight="false" outlineLevel="0" collapsed="false">
      <c r="A79" s="15" t="n">
        <v>78</v>
      </c>
      <c r="B79" s="15" t="str">
        <f aca="false" t="array" ref="B79:B79">IF(C79="M",INDEX('Random Lists'!$A$2:$A$56,COUNTIF($C$2:C79,"M")),INDEX('Random Lists'!$B$2:$B$55,COUNTIF($C$2:C79,"F")))</f>
        <v>DANISH HAKIM BIN RAHMAN</v>
      </c>
      <c r="C79" s="15" t="str">
        <f aca="true">IF(COUNTIF($C$2:C78,"M")&gt;=55,"F",IF(COUNTIF($C$2:C78,"F")&gt;=54,"M",IF(RAND()&lt;55/109,"M","F")))</f>
        <v>M</v>
      </c>
      <c r="D79" s="15" t="n">
        <f aca="false">RANDBETWEEN(18,60)</f>
        <v>56</v>
      </c>
      <c r="E79" s="15" t="str">
        <f aca="false">CHOOSE(RANDBETWEEN(1,9),"WNP","WPS","WPC","ENP","EPS","EPC","TNP","TPS","TPC")</f>
        <v>WPC</v>
      </c>
      <c r="F79" s="15" t="str">
        <f aca="false">IF(LEFT(E79,1)="W","N/A",CHOOSE(RANDBETWEEN(1,5),5,10,15,20,25))</f>
        <v>N/A</v>
      </c>
      <c r="G79" s="17" t="n">
        <f aca="false">CHOOSE(RANDBETWEEN(1,11),50000,60000,75000,80000,100000,120000,125000,150000,175000,180000,200000)</f>
        <v>200000</v>
      </c>
      <c r="H79" s="15" t="n">
        <f aca="false">IF(LEFT(E79,1)="W",CHOOSE(RANDBETWEEN(1,5),5,10,15,20,25),RANDBETWEEN(1,F79/5)*5)</f>
        <v>25</v>
      </c>
      <c r="I79" s="18" t="str">
        <f aca="false">IF(RIGHT(E79,2)="NP","None",IF(RIGHT(E79,1)="S","SRB","CRB"))</f>
        <v>CRB</v>
      </c>
      <c r="J79" s="19" t="n">
        <f aca="false">IF(I79="None",0%,5%)</f>
        <v>0.05</v>
      </c>
      <c r="K79" s="15" t="n">
        <f aca="false">IF(LEFT(E79,1)="W",RANDBETWEEN(1,10),RANDBETWEEN(1,MIN(10,F79)))</f>
        <v>1</v>
      </c>
    </row>
    <row r="80" customFormat="false" ht="14.25" hidden="false" customHeight="false" outlineLevel="0" collapsed="false">
      <c r="A80" s="15" t="n">
        <v>79</v>
      </c>
      <c r="B80" s="15" t="str">
        <f aca="false" t="array" ref="B80:B80">IF(C80="M",INDEX('Random Lists'!$A$2:$A$56,COUNTIF($C$2:C80,"M")),INDEX('Random Lists'!$B$2:$B$55,COUNTIF($C$2:C80,"F")))</f>
        <v>MUHAMMAD HAKIM BIN ROSLAN</v>
      </c>
      <c r="C80" s="15" t="str">
        <f aca="true">IF(COUNTIF($C$2:C79,"M")&gt;=55,"F",IF(COUNTIF($C$2:C79,"F")&gt;=54,"M",IF(RAND()&lt;55/109,"M","F")))</f>
        <v>M</v>
      </c>
      <c r="D80" s="15" t="n">
        <f aca="false">RANDBETWEEN(18,60)</f>
        <v>59</v>
      </c>
      <c r="E80" s="15" t="str">
        <f aca="false">CHOOSE(RANDBETWEEN(1,9),"WNP","WPS","WPC","ENP","EPS","EPC","TNP","TPS","TPC")</f>
        <v>TPS</v>
      </c>
      <c r="F80" s="15" t="n">
        <f aca="false">IF(LEFT(E80,1)="W","N/A",CHOOSE(RANDBETWEEN(1,5),5,10,15,20,25))</f>
        <v>5</v>
      </c>
      <c r="G80" s="17" t="n">
        <f aca="false">CHOOSE(RANDBETWEEN(1,11),50000,60000,75000,80000,100000,120000,125000,150000,175000,180000,200000)</f>
        <v>120000</v>
      </c>
      <c r="H80" s="15" t="n">
        <f aca="false">IF(LEFT(E80,1)="W",CHOOSE(RANDBETWEEN(1,5),5,10,15,20,25),RANDBETWEEN(1,F80/5)*5)</f>
        <v>5</v>
      </c>
      <c r="I80" s="18" t="str">
        <f aca="false">IF(RIGHT(E80,2)="NP","None",IF(RIGHT(E80,1)="S","SRB","CRB"))</f>
        <v>SRB</v>
      </c>
      <c r="J80" s="19" t="n">
        <f aca="false">IF(I80="None",0%,5%)</f>
        <v>0.05</v>
      </c>
      <c r="K80" s="15" t="n">
        <f aca="false">IF(LEFT(E80,1)="W",RANDBETWEEN(1,10),RANDBETWEEN(1,MIN(10,F80)))</f>
        <v>1</v>
      </c>
    </row>
    <row r="81" customFormat="false" ht="14.25" hidden="false" customHeight="false" outlineLevel="0" collapsed="false">
      <c r="A81" s="15" t="n">
        <v>80</v>
      </c>
      <c r="B81" s="15" t="str">
        <f aca="false" t="array" ref="B81:B81">IF(C81="M",INDEX('Random Lists'!$A$2:$A$56,COUNTIF($C$2:C81,"M")),INDEX('Random Lists'!$B$2:$B$55,COUNTIF($C$2:C81,"F")))</f>
        <v>MUHAMMAD AIZAT BIN RAHMAN</v>
      </c>
      <c r="C81" s="15" t="str">
        <f aca="true">IF(COUNTIF($C$2:C80,"M")&gt;=55,"F",IF(COUNTIF($C$2:C80,"F")&gt;=54,"M",IF(RAND()&lt;55/109,"M","F")))</f>
        <v>M</v>
      </c>
      <c r="D81" s="15" t="n">
        <f aca="false">RANDBETWEEN(18,60)</f>
        <v>38</v>
      </c>
      <c r="E81" s="15" t="str">
        <f aca="false">CHOOSE(RANDBETWEEN(1,9),"WNP","WPS","WPC","ENP","EPS","EPC","TNP","TPS","TPC")</f>
        <v>WPS</v>
      </c>
      <c r="F81" s="15" t="str">
        <f aca="false">IF(LEFT(E81,1)="W","N/A",CHOOSE(RANDBETWEEN(1,5),5,10,15,20,25))</f>
        <v>N/A</v>
      </c>
      <c r="G81" s="17" t="n">
        <f aca="false">CHOOSE(RANDBETWEEN(1,11),50000,60000,75000,80000,100000,120000,125000,150000,175000,180000,200000)</f>
        <v>175000</v>
      </c>
      <c r="H81" s="15" t="n">
        <f aca="false">IF(LEFT(E81,1)="W",CHOOSE(RANDBETWEEN(1,5),5,10,15,20,25),RANDBETWEEN(1,F81/5)*5)</f>
        <v>25</v>
      </c>
      <c r="I81" s="18" t="str">
        <f aca="false">IF(RIGHT(E81,2)="NP","None",IF(RIGHT(E81,1)="S","SRB","CRB"))</f>
        <v>SRB</v>
      </c>
      <c r="J81" s="19" t="n">
        <f aca="false">IF(I81="None",0%,5%)</f>
        <v>0.05</v>
      </c>
      <c r="K81" s="15" t="n">
        <f aca="false">IF(LEFT(E81,1)="W",RANDBETWEEN(1,10),RANDBETWEEN(1,MIN(10,F81)))</f>
        <v>1</v>
      </c>
    </row>
    <row r="82" customFormat="false" ht="14.25" hidden="false" customHeight="false" outlineLevel="0" collapsed="false">
      <c r="A82" s="15" t="n">
        <v>81</v>
      </c>
      <c r="B82" s="15" t="str">
        <f aca="false" t="array" ref="B82:B82">IF(C82="M",INDEX('Random Lists'!$A$2:$A$56,COUNTIF($C$2:C82,"M")),INDEX('Random Lists'!$B$2:$B$55,COUNTIF($C$2:C82,"F")))</f>
        <v>NURUL IZZAH BINTI ABDULLAH</v>
      </c>
      <c r="C82" s="15" t="str">
        <f aca="true">IF(COUNTIF($C$2:C81,"M")&gt;=55,"F",IF(COUNTIF($C$2:C81,"F")&gt;=54,"M",IF(RAND()&lt;55/109,"M","F")))</f>
        <v>F</v>
      </c>
      <c r="D82" s="15" t="n">
        <f aca="false">RANDBETWEEN(18,60)</f>
        <v>26</v>
      </c>
      <c r="E82" s="15" t="str">
        <f aca="false">CHOOSE(RANDBETWEEN(1,9),"WNP","WPS","WPC","ENP","EPS","EPC","TNP","TPS","TPC")</f>
        <v>ENP</v>
      </c>
      <c r="F82" s="15" t="n">
        <f aca="false">IF(LEFT(E82,1)="W","N/A",CHOOSE(RANDBETWEEN(1,5),5,10,15,20,25))</f>
        <v>10</v>
      </c>
      <c r="G82" s="17" t="n">
        <f aca="false">CHOOSE(RANDBETWEEN(1,11),50000,60000,75000,80000,100000,120000,125000,150000,175000,180000,200000)</f>
        <v>80000</v>
      </c>
      <c r="H82" s="15" t="n">
        <f aca="false">IF(LEFT(E82,1)="W",CHOOSE(RANDBETWEEN(1,5),5,10,15,20,25),RANDBETWEEN(1,F82/5)*5)</f>
        <v>10</v>
      </c>
      <c r="I82" s="18" t="str">
        <f aca="false">IF(RIGHT(E82,2)="NP","None",IF(RIGHT(E82,1)="S","SRB","CRB"))</f>
        <v>None</v>
      </c>
      <c r="J82" s="19" t="n">
        <f aca="false">IF(I82="None",0%,5%)</f>
        <v>0</v>
      </c>
      <c r="K82" s="15" t="n">
        <f aca="false">IF(LEFT(E82,1)="W",RANDBETWEEN(1,10),RANDBETWEEN(1,MIN(10,F82)))</f>
        <v>3</v>
      </c>
    </row>
    <row r="83" customFormat="false" ht="14.25" hidden="false" customHeight="false" outlineLevel="0" collapsed="false">
      <c r="A83" s="15" t="n">
        <v>82</v>
      </c>
      <c r="B83" s="15" t="str">
        <f aca="false" t="array" ref="B83:B83">IF(C83="M",INDEX('Random Lists'!$A$2:$A$56,COUNTIF($C$2:C83,"M")),INDEX('Random Lists'!$B$2:$B$55,COUNTIF($C$2:C83,"F")))</f>
        <v>AHMAD DANISH BIN RAHIM</v>
      </c>
      <c r="C83" s="15" t="str">
        <f aca="true">IF(COUNTIF($C$2:C82,"M")&gt;=55,"F",IF(COUNTIF($C$2:C82,"F")&gt;=54,"M",IF(RAND()&lt;55/109,"M","F")))</f>
        <v>M</v>
      </c>
      <c r="D83" s="15" t="n">
        <f aca="false">RANDBETWEEN(18,60)</f>
        <v>59</v>
      </c>
      <c r="E83" s="15" t="str">
        <f aca="false">CHOOSE(RANDBETWEEN(1,9),"WNP","WPS","WPC","ENP","EPS","EPC","TNP","TPS","TPC")</f>
        <v>TPS</v>
      </c>
      <c r="F83" s="15" t="n">
        <f aca="false">IF(LEFT(E83,1)="W","N/A",CHOOSE(RANDBETWEEN(1,5),5,10,15,20,25))</f>
        <v>5</v>
      </c>
      <c r="G83" s="17" t="n">
        <f aca="false">CHOOSE(RANDBETWEEN(1,11),50000,60000,75000,80000,100000,120000,125000,150000,175000,180000,200000)</f>
        <v>175000</v>
      </c>
      <c r="H83" s="15" t="n">
        <f aca="false">IF(LEFT(E83,1)="W",CHOOSE(RANDBETWEEN(1,5),5,10,15,20,25),RANDBETWEEN(1,F83/5)*5)</f>
        <v>5</v>
      </c>
      <c r="I83" s="18" t="str">
        <f aca="false">IF(RIGHT(E83,2)="NP","None",IF(RIGHT(E83,1)="S","SRB","CRB"))</f>
        <v>SRB</v>
      </c>
      <c r="J83" s="19" t="n">
        <f aca="false">IF(I83="None",0%,5%)</f>
        <v>0.05</v>
      </c>
      <c r="K83" s="15" t="n">
        <f aca="false">IF(LEFT(E83,1)="W",RANDBETWEEN(1,10),RANDBETWEEN(1,MIN(10,F83)))</f>
        <v>1</v>
      </c>
    </row>
    <row r="84" customFormat="false" ht="14.25" hidden="false" customHeight="false" outlineLevel="0" collapsed="false">
      <c r="A84" s="15" t="n">
        <v>83</v>
      </c>
      <c r="B84" s="15" t="str">
        <f aca="false" t="array" ref="B84:B84">IF(C84="M",INDEX('Random Lists'!$A$2:$A$56,COUNTIF($C$2:C84,"M")),INDEX('Random Lists'!$B$2:$B$55,COUNTIF($C$2:C84,"F")))</f>
        <v>MUHAMMAD RIDZUAN BIN MAHMOOD</v>
      </c>
      <c r="C84" s="15" t="str">
        <f aca="true">IF(COUNTIF($C$2:C83,"M")&gt;=55,"F",IF(COUNTIF($C$2:C83,"F")&gt;=54,"M",IF(RAND()&lt;55/109,"M","F")))</f>
        <v>M</v>
      </c>
      <c r="D84" s="15" t="n">
        <f aca="false">RANDBETWEEN(18,60)</f>
        <v>31</v>
      </c>
      <c r="E84" s="15" t="str">
        <f aca="false">CHOOSE(RANDBETWEEN(1,9),"WNP","WPS","WPC","ENP","EPS","EPC","TNP","TPS","TPC")</f>
        <v>TNP</v>
      </c>
      <c r="F84" s="15" t="n">
        <f aca="false">IF(LEFT(E84,1)="W","N/A",CHOOSE(RANDBETWEEN(1,5),5,10,15,20,25))</f>
        <v>25</v>
      </c>
      <c r="G84" s="17" t="n">
        <f aca="false">CHOOSE(RANDBETWEEN(1,11),50000,60000,75000,80000,100000,120000,125000,150000,175000,180000,200000)</f>
        <v>150000</v>
      </c>
      <c r="H84" s="15" t="n">
        <f aca="false">IF(LEFT(E84,1)="W",CHOOSE(RANDBETWEEN(1,5),5,10,15,20,25),RANDBETWEEN(1,F84/5)*5)</f>
        <v>20</v>
      </c>
      <c r="I84" s="18" t="str">
        <f aca="false">IF(RIGHT(E84,2)="NP","None",IF(RIGHT(E84,1)="S","SRB","CRB"))</f>
        <v>None</v>
      </c>
      <c r="J84" s="19" t="n">
        <f aca="false">IF(I84="None",0%,5%)</f>
        <v>0</v>
      </c>
      <c r="K84" s="15" t="n">
        <f aca="false">IF(LEFT(E84,1)="W",RANDBETWEEN(1,10),RANDBETWEEN(1,MIN(10,F84)))</f>
        <v>2</v>
      </c>
    </row>
    <row r="85" customFormat="false" ht="14.25" hidden="false" customHeight="false" outlineLevel="0" collapsed="false">
      <c r="A85" s="15" t="n">
        <v>84</v>
      </c>
      <c r="B85" s="15" t="str">
        <f aca="false" t="array" ref="B85:B85">IF(C85="M",INDEX('Random Lists'!$A$2:$A$56,COUNTIF($C$2:C85,"M")),INDEX('Random Lists'!$B$2:$B$55,COUNTIF($C$2:C85,"F")))</f>
        <v>MUHAMMAD ADAM BIN HASSAN</v>
      </c>
      <c r="C85" s="15" t="str">
        <f aca="true">IF(COUNTIF($C$2:C84,"M")&gt;=55,"F",IF(COUNTIF($C$2:C84,"F")&gt;=54,"M",IF(RAND()&lt;55/109,"M","F")))</f>
        <v>M</v>
      </c>
      <c r="D85" s="15" t="n">
        <f aca="false">RANDBETWEEN(18,60)</f>
        <v>21</v>
      </c>
      <c r="E85" s="15" t="str">
        <f aca="false">CHOOSE(RANDBETWEEN(1,9),"WNP","WPS","WPC","ENP","EPS","EPC","TNP","TPS","TPC")</f>
        <v>WPC</v>
      </c>
      <c r="F85" s="15" t="str">
        <f aca="false">IF(LEFT(E85,1)="W","N/A",CHOOSE(RANDBETWEEN(1,5),5,10,15,20,25))</f>
        <v>N/A</v>
      </c>
      <c r="G85" s="17" t="n">
        <f aca="false">CHOOSE(RANDBETWEEN(1,11),50000,60000,75000,80000,100000,120000,125000,150000,175000,180000,200000)</f>
        <v>50000</v>
      </c>
      <c r="H85" s="15" t="n">
        <f aca="false">IF(LEFT(E85,1)="W",CHOOSE(RANDBETWEEN(1,5),5,10,15,20,25),RANDBETWEEN(1,F85/5)*5)</f>
        <v>20</v>
      </c>
      <c r="I85" s="18" t="str">
        <f aca="false">IF(RIGHT(E85,2)="NP","None",IF(RIGHT(E85,1)="S","SRB","CRB"))</f>
        <v>CRB</v>
      </c>
      <c r="J85" s="19" t="n">
        <f aca="false">IF(I85="None",0%,5%)</f>
        <v>0.05</v>
      </c>
      <c r="K85" s="15" t="n">
        <f aca="false">IF(LEFT(E85,1)="W",RANDBETWEEN(1,10),RANDBETWEEN(1,MIN(10,F85)))</f>
        <v>1</v>
      </c>
    </row>
    <row r="86" customFormat="false" ht="14.25" hidden="false" customHeight="false" outlineLevel="0" collapsed="false">
      <c r="A86" s="15" t="n">
        <v>85</v>
      </c>
      <c r="B86" s="15" t="str">
        <f aca="false" t="array" ref="B86:B86">IF(C86="M",INDEX('Random Lists'!$A$2:$A$56,COUNTIF($C$2:C86,"M")),INDEX('Random Lists'!$B$2:$B$55,COUNTIF($C$2:C86,"F")))</f>
        <v>AHMAD HILMI BIN KAMAL</v>
      </c>
      <c r="C86" s="15" t="str">
        <f aca="true">IF(COUNTIF($C$2:C85,"M")&gt;=55,"F",IF(COUNTIF($C$2:C85,"F")&gt;=54,"M",IF(RAND()&lt;55/109,"M","F")))</f>
        <v>M</v>
      </c>
      <c r="D86" s="15" t="n">
        <f aca="false">RANDBETWEEN(18,60)</f>
        <v>25</v>
      </c>
      <c r="E86" s="15" t="str">
        <f aca="false">CHOOSE(RANDBETWEEN(1,9),"WNP","WPS","WPC","ENP","EPS","EPC","TNP","TPS","TPC")</f>
        <v>EPC</v>
      </c>
      <c r="F86" s="16" t="n">
        <f aca="false">IF(LEFT(E86,1)="W","N/A",CHOOSE(RANDBETWEEN(1,5),5,10,15,20,25))</f>
        <v>25</v>
      </c>
      <c r="G86" s="17" t="n">
        <f aca="false">CHOOSE(RANDBETWEEN(1,11),50000,60000,75000,80000,100000,120000,125000,150000,175000,180000,200000)</f>
        <v>175000</v>
      </c>
      <c r="H86" s="15" t="n">
        <f aca="false">IF(LEFT(E86,1)="W",CHOOSE(RANDBETWEEN(1,5),5,10,15,20,25),RANDBETWEEN(1,F86/5)*5)</f>
        <v>15</v>
      </c>
      <c r="I86" s="18" t="str">
        <f aca="false">IF(RIGHT(E86,2)="NP","None",IF(RIGHT(E86,1)="S","SRB","CRB"))</f>
        <v>CRB</v>
      </c>
      <c r="J86" s="19" t="n">
        <f aca="false">IF(I86="None",0%,5%)</f>
        <v>0.05</v>
      </c>
      <c r="K86" s="15" t="n">
        <f aca="false">IF(LEFT(E86,1)="W",RANDBETWEEN(1,10),RANDBETWEEN(1,MIN(10,F86)))</f>
        <v>1</v>
      </c>
    </row>
    <row r="87" customFormat="false" ht="14.25" hidden="false" customHeight="false" outlineLevel="0" collapsed="false">
      <c r="A87" s="15" t="n">
        <v>86</v>
      </c>
      <c r="B87" s="15" t="str">
        <f aca="false" t="array" ref="B87:B87">IF(C87="M",INDEX('Random Lists'!$A$2:$A$56,COUNTIF($C$2:C87,"M")),INDEX('Random Lists'!$B$2:$B$55,COUNTIF($C$2:C87,"F")))</f>
        <v>MUHAMMAD ARIF BIN SALLEH</v>
      </c>
      <c r="C87" s="15" t="str">
        <f aca="true">IF(COUNTIF($C$2:C86,"M")&gt;=55,"F",IF(COUNTIF($C$2:C86,"F")&gt;=54,"M",IF(RAND()&lt;55/109,"M","F")))</f>
        <v>M</v>
      </c>
      <c r="D87" s="15" t="n">
        <f aca="false">RANDBETWEEN(18,60)</f>
        <v>23</v>
      </c>
      <c r="E87" s="15" t="str">
        <f aca="false">CHOOSE(RANDBETWEEN(1,9),"WNP","WPS","WPC","ENP","EPS","EPC","TNP","TPS","TPC")</f>
        <v>EPC</v>
      </c>
      <c r="F87" s="16" t="n">
        <f aca="false">IF(LEFT(E87,1)="W","N/A",CHOOSE(RANDBETWEEN(1,5),5,10,15,20,25))</f>
        <v>5</v>
      </c>
      <c r="G87" s="17" t="n">
        <f aca="false">CHOOSE(RANDBETWEEN(1,11),50000,60000,75000,80000,100000,120000,125000,150000,175000,180000,200000)</f>
        <v>80000</v>
      </c>
      <c r="H87" s="15" t="n">
        <f aca="false">IF(LEFT(E87,1)="W",CHOOSE(RANDBETWEEN(1,5),5,10,15,20,25),RANDBETWEEN(1,F87/5)*5)</f>
        <v>5</v>
      </c>
      <c r="I87" s="18" t="str">
        <f aca="false">IF(RIGHT(E87,2)="NP","None",IF(RIGHT(E87,1)="S","SRB","CRB"))</f>
        <v>CRB</v>
      </c>
      <c r="J87" s="19" t="n">
        <f aca="false">IF(I87="None",0%,5%)</f>
        <v>0.05</v>
      </c>
      <c r="K87" s="15" t="n">
        <f aca="false">IF(LEFT(E87,1)="W",RANDBETWEEN(1,10),RANDBETWEEN(1,MIN(10,F87)))</f>
        <v>5</v>
      </c>
    </row>
    <row r="88" customFormat="false" ht="14.25" hidden="false" customHeight="false" outlineLevel="0" collapsed="false">
      <c r="A88" s="15" t="n">
        <v>87</v>
      </c>
      <c r="B88" s="15" t="str">
        <f aca="false" t="array" ref="B88:B88">IF(C88="M",INDEX('Random Lists'!$A$2:$A$56,COUNTIF($C$2:C88,"M")),INDEX('Random Lists'!$B$2:$B$55,COUNTIF($C$2:C88,"F")))</f>
        <v>NUR SYAFIQAH BINTI ALI</v>
      </c>
      <c r="C88" s="15" t="str">
        <f aca="true">IF(COUNTIF($C$2:C87,"M")&gt;=55,"F",IF(COUNTIF($C$2:C87,"F")&gt;=54,"M",IF(RAND()&lt;55/109,"M","F")))</f>
        <v>F</v>
      </c>
      <c r="D88" s="15" t="n">
        <f aca="false">RANDBETWEEN(18,60)</f>
        <v>39</v>
      </c>
      <c r="E88" s="15" t="str">
        <f aca="false">CHOOSE(RANDBETWEEN(1,9),"WNP","WPS","WPC","ENP","EPS","EPC","TNP","TPS","TPC")</f>
        <v>TPS</v>
      </c>
      <c r="F88" s="16" t="n">
        <f aca="false">IF(LEFT(E88,1)="W","N/A",CHOOSE(RANDBETWEEN(1,5),5,10,15,20,25))</f>
        <v>20</v>
      </c>
      <c r="G88" s="17" t="n">
        <f aca="false">CHOOSE(RANDBETWEEN(1,11),50000,60000,75000,80000,100000,120000,125000,150000,175000,180000,200000)</f>
        <v>50000</v>
      </c>
      <c r="H88" s="15" t="n">
        <f aca="false">IF(LEFT(E88,1)="W",CHOOSE(RANDBETWEEN(1,5),5,10,15,20,25),RANDBETWEEN(1,F88/5)*5)</f>
        <v>10</v>
      </c>
      <c r="I88" s="18" t="str">
        <f aca="false">IF(RIGHT(E88,2)="NP","None",IF(RIGHT(E88,1)="S","SRB","CRB"))</f>
        <v>SRB</v>
      </c>
      <c r="J88" s="19" t="n">
        <f aca="false">IF(I88="None",0%,5%)</f>
        <v>0.05</v>
      </c>
      <c r="K88" s="15" t="n">
        <f aca="false">IF(LEFT(E88,1)="W",RANDBETWEEN(1,10),RANDBETWEEN(1,MIN(10,F88)))</f>
        <v>6</v>
      </c>
    </row>
    <row r="89" customFormat="false" ht="14.25" hidden="false" customHeight="false" outlineLevel="0" collapsed="false">
      <c r="A89" s="15" t="n">
        <v>88</v>
      </c>
      <c r="B89" s="15" t="str">
        <f aca="false" t="array" ref="B89:B89">IF(C89="M",INDEX('Random Lists'!$A$2:$A$56,COUNTIF($C$2:C89,"M")),INDEX('Random Lists'!$B$2:$B$55,COUNTIF($C$2:C89,"F")))</f>
        <v>MUHAMMAD ADIB BIN FAIZAL</v>
      </c>
      <c r="C89" s="15" t="str">
        <f aca="true">IF(COUNTIF($C$2:C88,"M")&gt;=55,"F",IF(COUNTIF($C$2:C88,"F")&gt;=54,"M",IF(RAND()&lt;55/109,"M","F")))</f>
        <v>M</v>
      </c>
      <c r="D89" s="15" t="n">
        <f aca="false">RANDBETWEEN(18,60)</f>
        <v>34</v>
      </c>
      <c r="E89" s="15" t="str">
        <f aca="false">CHOOSE(RANDBETWEEN(1,9),"WNP","WPS","WPC","ENP","EPS","EPC","TNP","TPS","TPC")</f>
        <v>ENP</v>
      </c>
      <c r="F89" s="15" t="n">
        <f aca="false">IF(LEFT(E89,1)="W","N/A",CHOOSE(RANDBETWEEN(1,5),5,10,15,20,25))</f>
        <v>25</v>
      </c>
      <c r="G89" s="17" t="n">
        <f aca="false">CHOOSE(RANDBETWEEN(1,11),50000,60000,75000,80000,100000,120000,125000,150000,175000,180000,200000)</f>
        <v>175000</v>
      </c>
      <c r="H89" s="15" t="n">
        <f aca="false">IF(LEFT(E89,1)="W",CHOOSE(RANDBETWEEN(1,5),5,10,15,20,25),RANDBETWEEN(1,F89/5)*5)</f>
        <v>5</v>
      </c>
      <c r="I89" s="18" t="str">
        <f aca="false">IF(RIGHT(E89,2)="NP","None",IF(RIGHT(E89,1)="S","SRB","CRB"))</f>
        <v>None</v>
      </c>
      <c r="J89" s="19" t="n">
        <f aca="false">IF(I89="None",0%,5%)</f>
        <v>0</v>
      </c>
      <c r="K89" s="15" t="n">
        <f aca="false">IF(LEFT(E89,1)="W",RANDBETWEEN(1,10),RANDBETWEEN(1,MIN(10,F89)))</f>
        <v>3</v>
      </c>
    </row>
    <row r="90" customFormat="false" ht="14.25" hidden="false" customHeight="false" outlineLevel="0" collapsed="false">
      <c r="A90" s="15" t="n">
        <v>89</v>
      </c>
      <c r="B90" s="15" t="str">
        <f aca="false" t="array" ref="B90:B90">IF(C90="M",INDEX('Random Lists'!$A$2:$A$56,COUNTIF($C$2:C90,"M")),INDEX('Random Lists'!$B$2:$B$55,COUNTIF($C$2:C90,"F")))</f>
        <v>MUHAMMAD AMIR BIN ZULKARNAIN</v>
      </c>
      <c r="C90" s="15" t="str">
        <f aca="true">IF(COUNTIF($C$2:C89,"M")&gt;=55,"F",IF(COUNTIF($C$2:C89,"F")&gt;=54,"M",IF(RAND()&lt;55/109,"M","F")))</f>
        <v>M</v>
      </c>
      <c r="D90" s="15" t="n">
        <f aca="false">RANDBETWEEN(18,60)</f>
        <v>32</v>
      </c>
      <c r="E90" s="15" t="str">
        <f aca="false">CHOOSE(RANDBETWEEN(1,9),"WNP","WPS","WPC","ENP","EPS","EPC","TNP","TPS","TPC")</f>
        <v>TPC</v>
      </c>
      <c r="F90" s="15" t="n">
        <f aca="false">IF(LEFT(E90,1)="W","N/A",CHOOSE(RANDBETWEEN(1,5),5,10,15,20,25))</f>
        <v>5</v>
      </c>
      <c r="G90" s="17" t="n">
        <f aca="false">CHOOSE(RANDBETWEEN(1,11),50000,60000,75000,80000,100000,120000,125000,150000,175000,180000,200000)</f>
        <v>125000</v>
      </c>
      <c r="H90" s="15" t="n">
        <f aca="false">IF(LEFT(E90,1)="W",CHOOSE(RANDBETWEEN(1,5),5,10,15,20,25),RANDBETWEEN(1,F90/5)*5)</f>
        <v>5</v>
      </c>
      <c r="I90" s="18" t="str">
        <f aca="false">IF(RIGHT(E90,2)="NP","None",IF(RIGHT(E90,1)="S","SRB","CRB"))</f>
        <v>CRB</v>
      </c>
      <c r="J90" s="19" t="n">
        <f aca="false">IF(I90="None",0%,5%)</f>
        <v>0.05</v>
      </c>
      <c r="K90" s="15" t="n">
        <f aca="false">IF(LEFT(E90,1)="W",RANDBETWEEN(1,10),RANDBETWEEN(1,MIN(10,F90)))</f>
        <v>1</v>
      </c>
    </row>
    <row r="91" customFormat="false" ht="14.25" hidden="false" customHeight="false" outlineLevel="0" collapsed="false">
      <c r="A91" s="15" t="n">
        <v>90</v>
      </c>
      <c r="B91" s="15" t="str">
        <f aca="false" t="array" ref="B91:B91">IF(C91="M",INDEX('Random Lists'!$A$2:$A$56,COUNTIF($C$2:C91,"M")),INDEX('Random Lists'!$B$2:$B$55,COUNTIF($C$2:C91,"F")))</f>
        <v>MUHAMMAD FARHAN BIN KHALID</v>
      </c>
      <c r="C91" s="15" t="str">
        <f aca="true">IF(COUNTIF($C$2:C90,"M")&gt;=55,"F",IF(COUNTIF($C$2:C90,"F")&gt;=54,"M",IF(RAND()&lt;55/109,"M","F")))</f>
        <v>M</v>
      </c>
      <c r="D91" s="15" t="n">
        <f aca="false">RANDBETWEEN(18,60)</f>
        <v>33</v>
      </c>
      <c r="E91" s="15" t="str">
        <f aca="false">CHOOSE(RANDBETWEEN(1,9),"WNP","WPS","WPC","ENP","EPS","EPC","TNP","TPS","TPC")</f>
        <v>TPC</v>
      </c>
      <c r="F91" s="16" t="n">
        <f aca="false">IF(LEFT(E91,1)="W","N/A",CHOOSE(RANDBETWEEN(1,5),5,10,15,20,25))</f>
        <v>25</v>
      </c>
      <c r="G91" s="17" t="n">
        <f aca="false">CHOOSE(RANDBETWEEN(1,11),50000,60000,75000,80000,100000,120000,125000,150000,175000,180000,200000)</f>
        <v>80000</v>
      </c>
      <c r="H91" s="15" t="n">
        <f aca="false">IF(LEFT(E91,1)="W",CHOOSE(RANDBETWEEN(1,5),5,10,15,20,25),RANDBETWEEN(1,F91/5)*5)</f>
        <v>25</v>
      </c>
      <c r="I91" s="18" t="str">
        <f aca="false">IF(RIGHT(E91,2)="NP","None",IF(RIGHT(E91,1)="S","SRB","CRB"))</f>
        <v>CRB</v>
      </c>
      <c r="J91" s="19" t="n">
        <f aca="false">IF(I91="None",0%,5%)</f>
        <v>0.05</v>
      </c>
      <c r="K91" s="15" t="n">
        <f aca="false">IF(LEFT(E91,1)="W",RANDBETWEEN(1,10),RANDBETWEEN(1,MIN(10,F91)))</f>
        <v>7</v>
      </c>
    </row>
    <row r="92" customFormat="false" ht="14.25" hidden="false" customHeight="false" outlineLevel="0" collapsed="false">
      <c r="A92" s="15" t="n">
        <v>91</v>
      </c>
      <c r="B92" s="15" t="str">
        <f aca="false" t="array" ref="B92:B92">IF(C92="M",INDEX('Random Lists'!$A$2:$A$56,COUNTIF($C$2:C92,"M")),INDEX('Random Lists'!$B$2:$B$55,COUNTIF($C$2:C92,"F")))</f>
        <v>AHMAD ZIKRI BIN ISMAIL</v>
      </c>
      <c r="C92" s="15" t="str">
        <f aca="true">IF(COUNTIF($C$2:C91,"M")&gt;=55,"F",IF(COUNTIF($C$2:C91,"F")&gt;=54,"M",IF(RAND()&lt;55/109,"M","F")))</f>
        <v>M</v>
      </c>
      <c r="D92" s="15" t="n">
        <f aca="false">RANDBETWEEN(18,60)</f>
        <v>19</v>
      </c>
      <c r="E92" s="15" t="str">
        <f aca="false">CHOOSE(RANDBETWEEN(1,9),"WNP","WPS","WPC","ENP","EPS","EPC","TNP","TPS","TPC")</f>
        <v>TNP</v>
      </c>
      <c r="F92" s="16" t="n">
        <f aca="false">IF(LEFT(E92,1)="W","N/A",CHOOSE(RANDBETWEEN(1,5),5,10,15,20,25))</f>
        <v>15</v>
      </c>
      <c r="G92" s="17" t="n">
        <f aca="false">CHOOSE(RANDBETWEEN(1,11),50000,60000,75000,80000,100000,120000,125000,150000,175000,180000,200000)</f>
        <v>200000</v>
      </c>
      <c r="H92" s="15" t="n">
        <f aca="false">IF(LEFT(E92,1)="W",CHOOSE(RANDBETWEEN(1,5),5,10,15,20,25),RANDBETWEEN(1,F92/5)*5)</f>
        <v>15</v>
      </c>
      <c r="I92" s="18" t="str">
        <f aca="false">IF(RIGHT(E92,2)="NP","None",IF(RIGHT(E92,1)="S","SRB","CRB"))</f>
        <v>None</v>
      </c>
      <c r="J92" s="19" t="n">
        <f aca="false">IF(I92="None",0%,5%)</f>
        <v>0</v>
      </c>
      <c r="K92" s="15" t="n">
        <f aca="false">IF(LEFT(E92,1)="W",RANDBETWEEN(1,10),RANDBETWEEN(1,MIN(10,F92)))</f>
        <v>8</v>
      </c>
    </row>
    <row r="93" customFormat="false" ht="14.25" hidden="false" customHeight="false" outlineLevel="0" collapsed="false">
      <c r="A93" s="15" t="n">
        <v>92</v>
      </c>
      <c r="B93" s="15" t="str">
        <f aca="false" t="array" ref="B93:B93">IF(C93="M",INDEX('Random Lists'!$A$2:$A$56,COUNTIF($C$2:C93,"M")),INDEX('Random Lists'!$B$2:$B$55,COUNTIF($C$2:C93,"F")))</f>
        <v>NUR AIN SOFEA BINTI ZAKARIA</v>
      </c>
      <c r="C93" s="15" t="str">
        <f aca="true">IF(COUNTIF($C$2:C92,"M")&gt;=55,"F",IF(COUNTIF($C$2:C92,"F")&gt;=54,"M",IF(RAND()&lt;55/109,"M","F")))</f>
        <v>F</v>
      </c>
      <c r="D93" s="15" t="n">
        <f aca="false">RANDBETWEEN(18,60)</f>
        <v>46</v>
      </c>
      <c r="E93" s="15" t="str">
        <f aca="false">CHOOSE(RANDBETWEEN(1,9),"WNP","WPS","WPC","ENP","EPS","EPC","TNP","TPS","TPC")</f>
        <v>TPC</v>
      </c>
      <c r="F93" s="15" t="n">
        <f aca="false">IF(LEFT(E93,1)="W","N/A",CHOOSE(RANDBETWEEN(1,5),5,10,15,20,25))</f>
        <v>15</v>
      </c>
      <c r="G93" s="17" t="n">
        <f aca="false">CHOOSE(RANDBETWEEN(1,11),50000,60000,75000,80000,100000,120000,125000,150000,175000,180000,200000)</f>
        <v>60000</v>
      </c>
      <c r="H93" s="15" t="n">
        <f aca="false">IF(LEFT(E93,1)="W",CHOOSE(RANDBETWEEN(1,5),5,10,15,20,25),RANDBETWEEN(1,F93/5)*5)</f>
        <v>10</v>
      </c>
      <c r="I93" s="18" t="str">
        <f aca="false">IF(RIGHT(E93,2)="NP","None",IF(RIGHT(E93,1)="S","SRB","CRB"))</f>
        <v>CRB</v>
      </c>
      <c r="J93" s="19" t="n">
        <f aca="false">IF(I93="None",0%,5%)</f>
        <v>0.05</v>
      </c>
      <c r="K93" s="15" t="n">
        <f aca="false">IF(LEFT(E93,1)="W",RANDBETWEEN(1,10),RANDBETWEEN(1,MIN(10,F93)))</f>
        <v>7</v>
      </c>
    </row>
    <row r="94" customFormat="false" ht="14.25" hidden="false" customHeight="false" outlineLevel="0" collapsed="false">
      <c r="A94" s="15" t="n">
        <v>93</v>
      </c>
      <c r="B94" s="15" t="str">
        <f aca="false" t="array" ref="B94:B94">IF(C94="M",INDEX('Random Lists'!$A$2:$A$56,COUNTIF($C$2:C94,"M")),INDEX('Random Lists'!$B$2:$B$55,COUNTIF($C$2:C94,"F")))</f>
        <v>NUR ADIBAH BINTI FAIZAL</v>
      </c>
      <c r="C94" s="15" t="str">
        <f aca="true">IF(COUNTIF($C$2:C93,"M")&gt;=55,"F",IF(COUNTIF($C$2:C93,"F")&gt;=54,"M",IF(RAND()&lt;55/109,"M","F")))</f>
        <v>F</v>
      </c>
      <c r="D94" s="15" t="n">
        <f aca="false">RANDBETWEEN(18,60)</f>
        <v>45</v>
      </c>
      <c r="E94" s="15" t="str">
        <f aca="false">CHOOSE(RANDBETWEEN(1,9),"WNP","WPS","WPC","ENP","EPS","EPC","TNP","TPS","TPC")</f>
        <v>WPS</v>
      </c>
      <c r="F94" s="15" t="str">
        <f aca="false">IF(LEFT(E94,1)="W","N/A",CHOOSE(RANDBETWEEN(1,5),5,10,15,20,25))</f>
        <v>N/A</v>
      </c>
      <c r="G94" s="17" t="n">
        <f aca="false">CHOOSE(RANDBETWEEN(1,11),50000,60000,75000,80000,100000,120000,125000,150000,175000,180000,200000)</f>
        <v>60000</v>
      </c>
      <c r="H94" s="15" t="n">
        <f aca="false">IF(LEFT(E94,1)="W",CHOOSE(RANDBETWEEN(1,5),5,10,15,20,25),RANDBETWEEN(1,F94/5)*5)</f>
        <v>5</v>
      </c>
      <c r="I94" s="18" t="str">
        <f aca="false">IF(RIGHT(E94,2)="NP","None",IF(RIGHT(E94,1)="S","SRB","CRB"))</f>
        <v>SRB</v>
      </c>
      <c r="J94" s="19" t="n">
        <f aca="false">IF(I94="None",0%,5%)</f>
        <v>0.05</v>
      </c>
      <c r="K94" s="15" t="n">
        <f aca="false">IF(LEFT(E94,1)="W",RANDBETWEEN(1,10),RANDBETWEEN(1,MIN(10,F94)))</f>
        <v>3</v>
      </c>
    </row>
    <row r="95" customFormat="false" ht="14.25" hidden="false" customHeight="false" outlineLevel="0" collapsed="false">
      <c r="A95" s="15" t="n">
        <v>94</v>
      </c>
      <c r="B95" s="15" t="str">
        <f aca="false" t="array" ref="B95:B95">IF(C95="M",INDEX('Random Lists'!$A$2:$A$56,COUNTIF($C$2:C95,"M")),INDEX('Random Lists'!$B$2:$B$55,COUNTIF($C$2:C95,"F")))</f>
        <v>SITI NURSYAZANA BINTI RAZALI</v>
      </c>
      <c r="C95" s="15" t="str">
        <f aca="true">IF(COUNTIF($C$2:C94,"M")&gt;=55,"F",IF(COUNTIF($C$2:C94,"F")&gt;=54,"M",IF(RAND()&lt;55/109,"M","F")))</f>
        <v>F</v>
      </c>
      <c r="D95" s="15" t="n">
        <f aca="false">RANDBETWEEN(18,60)</f>
        <v>18</v>
      </c>
      <c r="E95" s="15" t="str">
        <f aca="false">CHOOSE(RANDBETWEEN(1,9),"WNP","WPS","WPC","ENP","EPS","EPC","TNP","TPS","TPC")</f>
        <v>ENP</v>
      </c>
      <c r="F95" s="16" t="n">
        <f aca="false">IF(LEFT(E95,1)="W","N/A",CHOOSE(RANDBETWEEN(1,5),5,10,15,20,25))</f>
        <v>25</v>
      </c>
      <c r="G95" s="17" t="n">
        <f aca="false">CHOOSE(RANDBETWEEN(1,11),50000,60000,75000,80000,100000,120000,125000,150000,175000,180000,200000)</f>
        <v>60000</v>
      </c>
      <c r="H95" s="15" t="n">
        <f aca="false">IF(LEFT(E95,1)="W",CHOOSE(RANDBETWEEN(1,5),5,10,15,20,25),RANDBETWEEN(1,F95/5)*5)</f>
        <v>10</v>
      </c>
      <c r="I95" s="18" t="str">
        <f aca="false">IF(RIGHT(E95,2)="NP","None",IF(RIGHT(E95,1)="S","SRB","CRB"))</f>
        <v>None</v>
      </c>
      <c r="J95" s="19" t="n">
        <f aca="false">IF(I95="None",0%,5%)</f>
        <v>0</v>
      </c>
      <c r="K95" s="15" t="n">
        <f aca="false">IF(LEFT(E95,1)="W",RANDBETWEEN(1,10),RANDBETWEEN(1,MIN(10,F95)))</f>
        <v>9</v>
      </c>
    </row>
    <row r="96" customFormat="false" ht="14.25" hidden="false" customHeight="false" outlineLevel="0" collapsed="false">
      <c r="A96" s="15" t="n">
        <v>95</v>
      </c>
      <c r="B96" s="15" t="str">
        <f aca="false" t="array" ref="B96:B96">IF(C96="M",INDEX('Random Lists'!$A$2:$A$56,COUNTIF($C$2:C96,"M")),INDEX('Random Lists'!$B$2:$B$55,COUNTIF($C$2:C96,"F")))</f>
        <v>SITI AISYAH BINTI KAMAL</v>
      </c>
      <c r="C96" s="15" t="str">
        <f aca="true">IF(COUNTIF($C$2:C95,"M")&gt;=55,"F",IF(COUNTIF($C$2:C95,"F")&gt;=54,"M",IF(RAND()&lt;55/109,"M","F")))</f>
        <v>F</v>
      </c>
      <c r="D96" s="15" t="n">
        <f aca="false">RANDBETWEEN(18,60)</f>
        <v>41</v>
      </c>
      <c r="E96" s="15" t="str">
        <f aca="false">CHOOSE(RANDBETWEEN(1,9),"WNP","WPS","WPC","ENP","EPS","EPC","TNP","TPS","TPC")</f>
        <v>WNP</v>
      </c>
      <c r="F96" s="15" t="str">
        <f aca="false">IF(LEFT(E96,1)="W","N/A",CHOOSE(RANDBETWEEN(1,5),5,10,15,20,25))</f>
        <v>N/A</v>
      </c>
      <c r="G96" s="17" t="n">
        <f aca="false">CHOOSE(RANDBETWEEN(1,11),50000,60000,75000,80000,100000,120000,125000,150000,175000,180000,200000)</f>
        <v>100000</v>
      </c>
      <c r="H96" s="15" t="n">
        <f aca="false">IF(LEFT(E96,1)="W",CHOOSE(RANDBETWEEN(1,5),5,10,15,20,25),RANDBETWEEN(1,F96/5)*5)</f>
        <v>5</v>
      </c>
      <c r="I96" s="18" t="str">
        <f aca="false">IF(RIGHT(E96,2)="NP","None",IF(RIGHT(E96,1)="S","SRB","CRB"))</f>
        <v>None</v>
      </c>
      <c r="J96" s="19" t="n">
        <f aca="false">IF(I96="None",0%,5%)</f>
        <v>0</v>
      </c>
      <c r="K96" s="15" t="n">
        <f aca="false">IF(LEFT(E96,1)="W",RANDBETWEEN(1,10),RANDBETWEEN(1,MIN(10,F96)))</f>
        <v>6</v>
      </c>
    </row>
    <row r="97" customFormat="false" ht="14.25" hidden="false" customHeight="false" outlineLevel="0" collapsed="false">
      <c r="A97" s="15" t="n">
        <v>96</v>
      </c>
      <c r="B97" s="15" t="str">
        <f aca="false" t="array" ref="B97:B97">IF(C97="M",INDEX('Random Lists'!$A$2:$A$56,COUNTIF($C$2:C97,"M")),INDEX('Random Lists'!$B$2:$B$55,COUNTIF($C$2:C97,"F")))</f>
        <v>NUR HAZIRAH BINTI HALIM</v>
      </c>
      <c r="C97" s="15" t="str">
        <f aca="true">IF(COUNTIF($C$2:C96,"M")&gt;=55,"F",IF(COUNTIF($C$2:C96,"F")&gt;=54,"M",IF(RAND()&lt;55/109,"M","F")))</f>
        <v>F</v>
      </c>
      <c r="D97" s="15" t="n">
        <f aca="false">RANDBETWEEN(18,60)</f>
        <v>43</v>
      </c>
      <c r="E97" s="15" t="str">
        <f aca="false">CHOOSE(RANDBETWEEN(1,9),"WNP","WPS","WPC","ENP","EPS","EPC","TNP","TPS","TPC")</f>
        <v>WPC</v>
      </c>
      <c r="F97" s="15" t="str">
        <f aca="false">IF(LEFT(E97,1)="W","N/A",CHOOSE(RANDBETWEEN(1,5),5,10,15,20,25))</f>
        <v>N/A</v>
      </c>
      <c r="G97" s="17" t="n">
        <f aca="false">CHOOSE(RANDBETWEEN(1,11),50000,60000,75000,80000,100000,120000,125000,150000,175000,180000,200000)</f>
        <v>120000</v>
      </c>
      <c r="H97" s="15" t="n">
        <f aca="false">IF(LEFT(E97,1)="W",CHOOSE(RANDBETWEEN(1,5),5,10,15,20,25),RANDBETWEEN(1,F97/5)*5)</f>
        <v>10</v>
      </c>
      <c r="I97" s="18" t="str">
        <f aca="false">IF(RIGHT(E97,2)="NP","None",IF(RIGHT(E97,1)="S","SRB","CRB"))</f>
        <v>CRB</v>
      </c>
      <c r="J97" s="19" t="n">
        <f aca="false">IF(I97="None",0%,5%)</f>
        <v>0.05</v>
      </c>
      <c r="K97" s="15" t="n">
        <f aca="false">IF(LEFT(E97,1)="W",RANDBETWEEN(1,10),RANDBETWEEN(1,MIN(10,F97)))</f>
        <v>8</v>
      </c>
    </row>
    <row r="98" customFormat="false" ht="14.25" hidden="false" customHeight="false" outlineLevel="0" collapsed="false">
      <c r="A98" s="15" t="n">
        <v>97</v>
      </c>
      <c r="B98" s="15" t="str">
        <f aca="false" t="array" ref="B98:B98">IF(C98="M",INDEX('Random Lists'!$A$2:$A$56,COUNTIF($C$2:C98,"M")),INDEX('Random Lists'!$B$2:$B$55,COUNTIF($C$2:C98,"F")))</f>
        <v>NUR IZZATI BINTI ROSLI</v>
      </c>
      <c r="C98" s="15" t="str">
        <f aca="true">IF(COUNTIF($C$2:C97,"M")&gt;=55,"F",IF(COUNTIF($C$2:C97,"F")&gt;=54,"M",IF(RAND()&lt;55/109,"M","F")))</f>
        <v>F</v>
      </c>
      <c r="D98" s="15" t="n">
        <f aca="false">RANDBETWEEN(18,60)</f>
        <v>56</v>
      </c>
      <c r="E98" s="15" t="str">
        <f aca="false">CHOOSE(RANDBETWEEN(1,9),"WNP","WPS","WPC","ENP","EPS","EPC","TNP","TPS","TPC")</f>
        <v>WNP</v>
      </c>
      <c r="F98" s="15" t="str">
        <f aca="false">IF(LEFT(E98,1)="W","N/A",CHOOSE(RANDBETWEEN(1,5),5,10,15,20,25))</f>
        <v>N/A</v>
      </c>
      <c r="G98" s="17" t="n">
        <f aca="false">CHOOSE(RANDBETWEEN(1,11),50000,60000,75000,80000,100000,120000,125000,150000,175000,180000,200000)</f>
        <v>200000</v>
      </c>
      <c r="H98" s="15" t="n">
        <f aca="false">IF(LEFT(E98,1)="W",CHOOSE(RANDBETWEEN(1,5),5,10,15,20,25),RANDBETWEEN(1,F98/5)*5)</f>
        <v>15</v>
      </c>
      <c r="I98" s="18" t="str">
        <f aca="false">IF(RIGHT(E98,2)="NP","None",IF(RIGHT(E98,1)="S","SRB","CRB"))</f>
        <v>None</v>
      </c>
      <c r="J98" s="19" t="n">
        <f aca="false">IF(I98="None",0%,5%)</f>
        <v>0</v>
      </c>
      <c r="K98" s="15" t="n">
        <f aca="false">IF(LEFT(E98,1)="W",RANDBETWEEN(1,10),RANDBETWEEN(1,MIN(10,F98)))</f>
        <v>2</v>
      </c>
    </row>
    <row r="99" customFormat="false" ht="14.25" hidden="false" customHeight="false" outlineLevel="0" collapsed="false">
      <c r="A99" s="15" t="n">
        <v>98</v>
      </c>
      <c r="B99" s="15" t="str">
        <f aca="false" t="array" ref="B99:B99">IF(C99="M",INDEX('Random Lists'!$A$2:$A$56,COUNTIF($C$2:C99,"M")),INDEX('Random Lists'!$B$2:$B$55,COUNTIF($C$2:C99,"F")))</f>
        <v>NUR FAREEHA BINTI ABDUL HALIM</v>
      </c>
      <c r="C99" s="15" t="str">
        <f aca="true">IF(COUNTIF($C$2:C98,"M")&gt;=55,"F",IF(COUNTIF($C$2:C98,"F")&gt;=54,"M",IF(RAND()&lt;55/109,"M","F")))</f>
        <v>F</v>
      </c>
      <c r="D99" s="15" t="n">
        <f aca="false">RANDBETWEEN(18,60)</f>
        <v>42</v>
      </c>
      <c r="E99" s="15" t="str">
        <f aca="false">CHOOSE(RANDBETWEEN(1,9),"WNP","WPS","WPC","ENP","EPS","EPC","TNP","TPS","TPC")</f>
        <v>WPS</v>
      </c>
      <c r="F99" s="15" t="str">
        <f aca="false">IF(LEFT(E99,1)="W","N/A",CHOOSE(RANDBETWEEN(1,5),5,10,15,20,25))</f>
        <v>N/A</v>
      </c>
      <c r="G99" s="17" t="n">
        <f aca="false">CHOOSE(RANDBETWEEN(1,11),50000,60000,75000,80000,100000,120000,125000,150000,175000,180000,200000)</f>
        <v>50000</v>
      </c>
      <c r="H99" s="15" t="n">
        <f aca="false">IF(LEFT(E99,1)="W",CHOOSE(RANDBETWEEN(1,5),5,10,15,20,25),RANDBETWEEN(1,F99/5)*5)</f>
        <v>15</v>
      </c>
      <c r="I99" s="18" t="str">
        <f aca="false">IF(RIGHT(E99,2)="NP","None",IF(RIGHT(E99,1)="S","SRB","CRB"))</f>
        <v>SRB</v>
      </c>
      <c r="J99" s="19" t="n">
        <f aca="false">IF(I99="None",0%,5%)</f>
        <v>0.05</v>
      </c>
      <c r="K99" s="15" t="n">
        <f aca="false">IF(LEFT(E99,1)="W",RANDBETWEEN(1,10),RANDBETWEEN(1,MIN(10,F99)))</f>
        <v>9</v>
      </c>
    </row>
    <row r="100" customFormat="false" ht="14.25" hidden="false" customHeight="false" outlineLevel="0" collapsed="false">
      <c r="A100" s="15" t="n">
        <v>99</v>
      </c>
      <c r="B100" s="15" t="str">
        <f aca="false" t="array" ref="B100:B100">IF(C100="M",INDEX('Random Lists'!$A$2:$A$56,COUNTIF($C$2:C100,"M")),INDEX('Random Lists'!$B$2:$B$55,COUNTIF($C$2:C100,"F")))</f>
        <v>NUR ZAHRA BINTI RAHMAN</v>
      </c>
      <c r="C100" s="15" t="str">
        <f aca="true">IF(COUNTIF($C$2:C99,"M")&gt;=55,"F",IF(COUNTIF($C$2:C99,"F")&gt;=54,"M",IF(RAND()&lt;55/109,"M","F")))</f>
        <v>F</v>
      </c>
      <c r="D100" s="15" t="n">
        <f aca="false">RANDBETWEEN(18,60)</f>
        <v>24</v>
      </c>
      <c r="E100" s="15" t="str">
        <f aca="false">CHOOSE(RANDBETWEEN(1,9),"WNP","WPS","WPC","ENP","EPS","EPC","TNP","TPS","TPC")</f>
        <v>TPS</v>
      </c>
      <c r="F100" s="16" t="n">
        <f aca="false">IF(LEFT(E100,1)="W","N/A",CHOOSE(RANDBETWEEN(1,5),5,10,15,20,25))</f>
        <v>5</v>
      </c>
      <c r="G100" s="17" t="n">
        <f aca="false">CHOOSE(RANDBETWEEN(1,11),50000,60000,75000,80000,100000,120000,125000,150000,175000,180000,200000)</f>
        <v>75000</v>
      </c>
      <c r="H100" s="15" t="n">
        <f aca="false">IF(LEFT(E100,1)="W",CHOOSE(RANDBETWEEN(1,5),5,10,15,20,25),RANDBETWEEN(1,F100/5)*5)</f>
        <v>5</v>
      </c>
      <c r="I100" s="18" t="str">
        <f aca="false">IF(RIGHT(E100,2)="NP","None",IF(RIGHT(E100,1)="S","SRB","CRB"))</f>
        <v>SRB</v>
      </c>
      <c r="J100" s="19" t="n">
        <f aca="false">IF(I100="None",0%,5%)</f>
        <v>0.05</v>
      </c>
      <c r="K100" s="15" t="n">
        <f aca="false">IF(LEFT(E100,1)="W",RANDBETWEEN(1,10),RANDBETWEEN(1,MIN(10,F100)))</f>
        <v>4</v>
      </c>
    </row>
    <row r="101" customFormat="false" ht="14.25" hidden="false" customHeight="false" outlineLevel="0" collapsed="false">
      <c r="A101" s="15" t="n">
        <v>100</v>
      </c>
      <c r="B101" s="15" t="str">
        <f aca="false" t="array" ref="B101:B101">IF(C101="M",INDEX('Random Lists'!$A$2:$A$56,COUNTIF($C$2:C101,"M")),INDEX('Random Lists'!$B$2:$B$55,COUNTIF($C$2:C101,"F")))</f>
        <v>SITI FATIHAH BINTI RAHIM</v>
      </c>
      <c r="C101" s="15" t="str">
        <f aca="true">IF(COUNTIF($C$2:C100,"M")&gt;=55,"F",IF(COUNTIF($C$2:C100,"F")&gt;=54,"M",IF(RAND()&lt;55/109,"M","F")))</f>
        <v>F</v>
      </c>
      <c r="D101" s="15" t="n">
        <f aca="false">RANDBETWEEN(18,60)</f>
        <v>41</v>
      </c>
      <c r="E101" s="15" t="str">
        <f aca="false">CHOOSE(RANDBETWEEN(1,9),"WNP","WPS","WPC","ENP","EPS","EPC","TNP","TPS","TPC")</f>
        <v>TPS</v>
      </c>
      <c r="F101" s="15" t="n">
        <f aca="false">IF(LEFT(E101,1)="W","N/A",CHOOSE(RANDBETWEEN(1,5),5,10,15,20,25))</f>
        <v>10</v>
      </c>
      <c r="G101" s="17" t="n">
        <f aca="false">CHOOSE(RANDBETWEEN(1,11),50000,60000,75000,80000,100000,120000,125000,150000,175000,180000,200000)</f>
        <v>200000</v>
      </c>
      <c r="H101" s="15" t="n">
        <f aca="false">IF(LEFT(E101,1)="W",CHOOSE(RANDBETWEEN(1,5),5,10,15,20,25),RANDBETWEEN(1,F101/5)*5)</f>
        <v>10</v>
      </c>
      <c r="I101" s="18" t="str">
        <f aca="false">IF(RIGHT(E101,2)="NP","None",IF(RIGHT(E101,1)="S","SRB","CRB"))</f>
        <v>SRB</v>
      </c>
      <c r="J101" s="19" t="n">
        <f aca="false">IF(I101="None",0%,5%)</f>
        <v>0.05</v>
      </c>
      <c r="K101" s="15" t="n">
        <f aca="false">IF(LEFT(E101,1)="W",RANDBETWEEN(1,10),RANDBETWEEN(1,MIN(10,F101)))</f>
        <v>10</v>
      </c>
    </row>
    <row r="102" customFormat="false" ht="14.25" hidden="false" customHeight="false" outlineLevel="0" collapsed="false">
      <c r="A102" s="15" t="n">
        <v>101</v>
      </c>
      <c r="B102" s="15" t="str">
        <f aca="false" t="array" ref="B102:B102">IF(C102="M",INDEX('Random Lists'!$A$2:$A$56,COUNTIF($C$2:C102,"M")),INDEX('Random Lists'!$B$2:$B$55,COUNTIF($C$2:C102,"F")))</f>
        <v>SITI HANNAN BINTI AZHAR</v>
      </c>
      <c r="C102" s="15" t="str">
        <f aca="true">IF(COUNTIF($C$2:C101,"M")&gt;=55,"F",IF(COUNTIF($C$2:C101,"F")&gt;=54,"M",IF(RAND()&lt;55/109,"M","F")))</f>
        <v>F</v>
      </c>
      <c r="D102" s="15" t="n">
        <f aca="false">RANDBETWEEN(18,60)</f>
        <v>41</v>
      </c>
      <c r="E102" s="15" t="str">
        <f aca="false">CHOOSE(RANDBETWEEN(1,9),"WNP","WPS","WPC","ENP","EPS","EPC","TNP","TPS","TPC")</f>
        <v>WPS</v>
      </c>
      <c r="F102" s="15" t="str">
        <f aca="false">IF(LEFT(E102,1)="W","N/A",CHOOSE(RANDBETWEEN(1,5),5,10,15,20,25))</f>
        <v>N/A</v>
      </c>
      <c r="G102" s="17" t="n">
        <f aca="false">CHOOSE(RANDBETWEEN(1,11),50000,60000,75000,80000,100000,120000,125000,150000,175000,180000,200000)</f>
        <v>125000</v>
      </c>
      <c r="H102" s="15" t="n">
        <f aca="false">IF(LEFT(E102,1)="W",CHOOSE(RANDBETWEEN(1,5),5,10,15,20,25),RANDBETWEEN(1,F102/5)*5)</f>
        <v>5</v>
      </c>
      <c r="I102" s="18" t="str">
        <f aca="false">IF(RIGHT(E102,2)="NP","None",IF(RIGHT(E102,1)="S","SRB","CRB"))</f>
        <v>SRB</v>
      </c>
      <c r="J102" s="19" t="n">
        <f aca="false">IF(I102="None",0%,5%)</f>
        <v>0.05</v>
      </c>
      <c r="K102" s="15" t="n">
        <f aca="false">IF(LEFT(E102,1)="W",RANDBETWEEN(1,10),RANDBETWEEN(1,MIN(10,F102)))</f>
        <v>7</v>
      </c>
    </row>
    <row r="103" customFormat="false" ht="14.25" hidden="false" customHeight="false" outlineLevel="0" collapsed="false">
      <c r="A103" s="15" t="n">
        <v>102</v>
      </c>
      <c r="B103" s="15" t="str">
        <f aca="false" t="array" ref="B103:B103">IF(C103="M",INDEX('Random Lists'!$A$2:$A$56,COUNTIF($C$2:C103,"M")),INDEX('Random Lists'!$B$2:$B$55,COUNTIF($C$2:C103,"F")))</f>
        <v>NURUL AIN BINTI NASIR</v>
      </c>
      <c r="C103" s="15" t="str">
        <f aca="true">IF(COUNTIF($C$2:C102,"M")&gt;=55,"F",IF(COUNTIF($C$2:C102,"F")&gt;=54,"M",IF(RAND()&lt;55/109,"M","F")))</f>
        <v>F</v>
      </c>
      <c r="D103" s="15" t="n">
        <f aca="false">RANDBETWEEN(18,60)</f>
        <v>24</v>
      </c>
      <c r="E103" s="15" t="str">
        <f aca="false">CHOOSE(RANDBETWEEN(1,9),"WNP","WPS","WPC","ENP","EPS","EPC","TNP","TPS","TPC")</f>
        <v>EPS</v>
      </c>
      <c r="F103" s="15" t="n">
        <f aca="false">IF(LEFT(E103,1)="W","N/A",CHOOSE(RANDBETWEEN(1,5),5,10,15,20,25))</f>
        <v>20</v>
      </c>
      <c r="G103" s="17" t="n">
        <f aca="false">CHOOSE(RANDBETWEEN(1,11),50000,60000,75000,80000,100000,120000,125000,150000,175000,180000,200000)</f>
        <v>60000</v>
      </c>
      <c r="H103" s="15" t="n">
        <f aca="false">IF(LEFT(E103,1)="W",CHOOSE(RANDBETWEEN(1,5),5,10,15,20,25),RANDBETWEEN(1,F103/5)*5)</f>
        <v>10</v>
      </c>
      <c r="I103" s="18" t="str">
        <f aca="false">IF(RIGHT(E103,2)="NP","None",IF(RIGHT(E103,1)="S","SRB","CRB"))</f>
        <v>SRB</v>
      </c>
      <c r="J103" s="19" t="n">
        <f aca="false">IF(I103="None",0%,5%)</f>
        <v>0.05</v>
      </c>
      <c r="K103" s="15" t="n">
        <f aca="false">IF(LEFT(E103,1)="W",RANDBETWEEN(1,10),RANDBETWEEN(1,MIN(10,F103)))</f>
        <v>1</v>
      </c>
    </row>
    <row r="104" customFormat="false" ht="14.25" hidden="false" customHeight="false" outlineLevel="0" collapsed="false">
      <c r="A104" s="15" t="n">
        <v>103</v>
      </c>
      <c r="B104" s="15" t="str">
        <f aca="false" t="array" ref="B104:B104">IF(C104="M",INDEX('Random Lists'!$A$2:$A$56,COUNTIF($C$2:C104,"M")),INDEX('Random Lists'!$B$2:$B$55,COUNTIF($C$2:C104,"F")))</f>
        <v>NUR ALYA BINTI NASIR</v>
      </c>
      <c r="C104" s="15" t="str">
        <f aca="true">IF(COUNTIF($C$2:C103,"M")&gt;=55,"F",IF(COUNTIF($C$2:C103,"F")&gt;=54,"M",IF(RAND()&lt;55/109,"M","F")))</f>
        <v>F</v>
      </c>
      <c r="D104" s="15" t="n">
        <f aca="false">RANDBETWEEN(18,60)</f>
        <v>19</v>
      </c>
      <c r="E104" s="15" t="str">
        <f aca="false">CHOOSE(RANDBETWEEN(1,9),"WNP","WPS","WPC","ENP","EPS","EPC","TNP","TPS","TPC")</f>
        <v>TNP</v>
      </c>
      <c r="F104" s="15" t="n">
        <f aca="false">IF(LEFT(E104,1)="W","N/A",CHOOSE(RANDBETWEEN(1,5),5,10,15,20,25))</f>
        <v>5</v>
      </c>
      <c r="G104" s="17" t="n">
        <f aca="false">CHOOSE(RANDBETWEEN(1,11),50000,60000,75000,80000,100000,120000,125000,150000,175000,180000,200000)</f>
        <v>125000</v>
      </c>
      <c r="H104" s="15" t="n">
        <f aca="false">IF(LEFT(E104,1)="W",CHOOSE(RANDBETWEEN(1,5),5,10,15,20,25),RANDBETWEEN(1,F104/5)*5)</f>
        <v>5</v>
      </c>
      <c r="I104" s="18" t="str">
        <f aca="false">IF(RIGHT(E104,2)="NP","None",IF(RIGHT(E104,1)="S","SRB","CRB"))</f>
        <v>None</v>
      </c>
      <c r="J104" s="19" t="n">
        <f aca="false">IF(I104="None",0%,5%)</f>
        <v>0</v>
      </c>
      <c r="K104" s="15" t="n">
        <f aca="false">IF(LEFT(E104,1)="W",RANDBETWEEN(1,10),RANDBETWEEN(1,MIN(10,F104)))</f>
        <v>3</v>
      </c>
    </row>
    <row r="105" customFormat="false" ht="14.25" hidden="false" customHeight="false" outlineLevel="0" collapsed="false">
      <c r="A105" s="15" t="n">
        <v>104</v>
      </c>
      <c r="B105" s="15" t="str">
        <f aca="false" t="array" ref="B105:B105">IF(C105="M",INDEX('Random Lists'!$A$2:$A$56,COUNTIF($C$2:C105,"M")),INDEX('Random Lists'!$B$2:$B$55,COUNTIF($C$2:C105,"F")))</f>
        <v>NUR AMIRAH BINTI ZULKARNAIN</v>
      </c>
      <c r="C105" s="15" t="str">
        <f aca="true">IF(COUNTIF($C$2:C104,"M")&gt;=55,"F",IF(COUNTIF($C$2:C104,"F")&gt;=54,"M",IF(RAND()&lt;55/109,"M","F")))</f>
        <v>F</v>
      </c>
      <c r="D105" s="15" t="n">
        <f aca="false">RANDBETWEEN(18,60)</f>
        <v>26</v>
      </c>
      <c r="E105" s="15" t="str">
        <f aca="false">CHOOSE(RANDBETWEEN(1,9),"WNP","WPS","WPC","ENP","EPS","EPC","TNP","TPS","TPC")</f>
        <v>TNP</v>
      </c>
      <c r="F105" s="16" t="n">
        <f aca="false">IF(LEFT(E105,1)="W","N/A",CHOOSE(RANDBETWEEN(1,5),5,10,15,20,25))</f>
        <v>15</v>
      </c>
      <c r="G105" s="17" t="n">
        <f aca="false">CHOOSE(RANDBETWEEN(1,11),50000,60000,75000,80000,100000,120000,125000,150000,175000,180000,200000)</f>
        <v>100000</v>
      </c>
      <c r="H105" s="15" t="n">
        <f aca="false">IF(LEFT(E105,1)="W",CHOOSE(RANDBETWEEN(1,5),5,10,15,20,25),RANDBETWEEN(1,F105/5)*5)</f>
        <v>10</v>
      </c>
      <c r="I105" s="18" t="str">
        <f aca="false">IF(RIGHT(E105,2)="NP","None",IF(RIGHT(E105,1)="S","SRB","CRB"))</f>
        <v>None</v>
      </c>
      <c r="J105" s="19" t="n">
        <f aca="false">IF(I105="None",0%,5%)</f>
        <v>0</v>
      </c>
      <c r="K105" s="15" t="n">
        <f aca="false">IF(LEFT(E105,1)="W",RANDBETWEEN(1,10),RANDBETWEEN(1,MIN(10,F105)))</f>
        <v>4</v>
      </c>
    </row>
    <row r="106" customFormat="false" ht="14.25" hidden="false" customHeight="false" outlineLevel="0" collapsed="false">
      <c r="A106" s="15" t="n">
        <v>105</v>
      </c>
      <c r="B106" s="15" t="str">
        <f aca="false" t="array" ref="B106:B106">IF(C106="M",INDEX('Random Lists'!$A$2:$A$56,COUNTIF($C$2:C106,"M")),INDEX('Random Lists'!$B$2:$B$55,COUNTIF($C$2:C106,"F")))</f>
        <v>NUR AMANINA BINTI JAMAL</v>
      </c>
      <c r="C106" s="15" t="str">
        <f aca="true">IF(COUNTIF($C$2:C105,"M")&gt;=55,"F",IF(COUNTIF($C$2:C105,"F")&gt;=54,"M",IF(RAND()&lt;55/109,"M","F")))</f>
        <v>F</v>
      </c>
      <c r="D106" s="15" t="n">
        <f aca="false">RANDBETWEEN(18,60)</f>
        <v>25</v>
      </c>
      <c r="E106" s="15" t="str">
        <f aca="false">CHOOSE(RANDBETWEEN(1,9),"WNP","WPS","WPC","ENP","EPS","EPC","TNP","TPS","TPC")</f>
        <v>ENP</v>
      </c>
      <c r="F106" s="16" t="n">
        <f aca="false">IF(LEFT(E106,1)="W","N/A",CHOOSE(RANDBETWEEN(1,5),5,10,15,20,25))</f>
        <v>15</v>
      </c>
      <c r="G106" s="17" t="n">
        <f aca="false">CHOOSE(RANDBETWEEN(1,11),50000,60000,75000,80000,100000,120000,125000,150000,175000,180000,200000)</f>
        <v>125000</v>
      </c>
      <c r="H106" s="15" t="n">
        <f aca="false">IF(LEFT(E106,1)="W",CHOOSE(RANDBETWEEN(1,5),5,10,15,20,25),RANDBETWEEN(1,F106/5)*5)</f>
        <v>10</v>
      </c>
      <c r="I106" s="18" t="str">
        <f aca="false">IF(RIGHT(E106,2)="NP","None",IF(RIGHT(E106,1)="S","SRB","CRB"))</f>
        <v>None</v>
      </c>
      <c r="J106" s="19" t="n">
        <f aca="false">IF(I106="None",0%,5%)</f>
        <v>0</v>
      </c>
      <c r="K106" s="15" t="n">
        <f aca="false">IF(LEFT(E106,1)="W",RANDBETWEEN(1,10),RANDBETWEEN(1,MIN(10,F106)))</f>
        <v>5</v>
      </c>
    </row>
    <row r="107" customFormat="false" ht="14.25" hidden="false" customHeight="false" outlineLevel="0" collapsed="false">
      <c r="A107" s="15" t="n">
        <v>106</v>
      </c>
      <c r="B107" s="15" t="str">
        <f aca="false" t="array" ref="B107:B107">IF(C107="M",INDEX('Random Lists'!$A$2:$A$56,COUNTIF($C$2:C107,"M")),INDEX('Random Lists'!$B$2:$B$55,COUNTIF($C$2:C107,"F")))</f>
        <v>SITI NURFATIN BINTI ISMAIL</v>
      </c>
      <c r="C107" s="15" t="str">
        <f aca="true">IF(COUNTIF($C$2:C106,"M")&gt;=55,"F",IF(COUNTIF($C$2:C106,"F")&gt;=54,"M",IF(RAND()&lt;55/109,"M","F")))</f>
        <v>F</v>
      </c>
      <c r="D107" s="15" t="n">
        <f aca="false">RANDBETWEEN(18,60)</f>
        <v>26</v>
      </c>
      <c r="E107" s="15" t="str">
        <f aca="false">CHOOSE(RANDBETWEEN(1,9),"WNP","WPS","WPC","ENP","EPS","EPC","TNP","TPS","TPC")</f>
        <v>WNP</v>
      </c>
      <c r="F107" s="15" t="str">
        <f aca="false">IF(LEFT(E107,1)="W","N/A",CHOOSE(RANDBETWEEN(1,5),5,10,15,20,25))</f>
        <v>N/A</v>
      </c>
      <c r="G107" s="17" t="n">
        <f aca="false">CHOOSE(RANDBETWEEN(1,11),50000,60000,75000,80000,100000,120000,125000,150000,175000,180000,200000)</f>
        <v>120000</v>
      </c>
      <c r="H107" s="15" t="n">
        <f aca="false">IF(LEFT(E107,1)="W",CHOOSE(RANDBETWEEN(1,5),5,10,15,20,25),RANDBETWEEN(1,F107/5)*5)</f>
        <v>25</v>
      </c>
      <c r="I107" s="18" t="str">
        <f aca="false">IF(RIGHT(E107,2)="NP","None",IF(RIGHT(E107,1)="S","SRB","CRB"))</f>
        <v>None</v>
      </c>
      <c r="J107" s="19" t="n">
        <f aca="false">IF(I107="None",0%,5%)</f>
        <v>0</v>
      </c>
      <c r="K107" s="15" t="n">
        <f aca="false">IF(LEFT(E107,1)="W",RANDBETWEEN(1,10),RANDBETWEEN(1,MIN(10,F107)))</f>
        <v>5</v>
      </c>
    </row>
    <row r="108" customFormat="false" ht="14.25" hidden="false" customHeight="false" outlineLevel="0" collapsed="false">
      <c r="A108" s="15" t="n">
        <v>107</v>
      </c>
      <c r="B108" s="15" t="str">
        <f aca="false" t="array" ref="B108:B108">IF(C108="M",INDEX('Random Lists'!$A$2:$A$56,COUNTIF($C$2:C108,"M")),INDEX('Random Lists'!$B$2:$B$55,COUNTIF($C$2:C108,"F")))</f>
        <v>NUR AISYAH BINTI AZMAN</v>
      </c>
      <c r="C108" s="15" t="str">
        <f aca="true">IF(COUNTIF($C$2:C107,"M")&gt;=55,"F",IF(COUNTIF($C$2:C107,"F")&gt;=54,"M",IF(RAND()&lt;55/109,"M","F")))</f>
        <v>F</v>
      </c>
      <c r="D108" s="15" t="n">
        <f aca="false">RANDBETWEEN(18,60)</f>
        <v>31</v>
      </c>
      <c r="E108" s="15" t="str">
        <f aca="false">CHOOSE(RANDBETWEEN(1,9),"WNP","WPS","WPC","ENP","EPS","EPC","TNP","TPS","TPC")</f>
        <v>EPS</v>
      </c>
      <c r="F108" s="15" t="n">
        <f aca="false">IF(LEFT(E108,1)="W","N/A",CHOOSE(RANDBETWEEN(1,5),5,10,15,20,25))</f>
        <v>5</v>
      </c>
      <c r="G108" s="17" t="n">
        <f aca="false">CHOOSE(RANDBETWEEN(1,11),50000,60000,75000,80000,100000,120000,125000,150000,175000,180000,200000)</f>
        <v>200000</v>
      </c>
      <c r="H108" s="15" t="n">
        <f aca="false">IF(LEFT(E108,1)="W",CHOOSE(RANDBETWEEN(1,5),5,10,15,20,25),RANDBETWEEN(1,F108/5)*5)</f>
        <v>5</v>
      </c>
      <c r="I108" s="18" t="str">
        <f aca="false">IF(RIGHT(E108,2)="NP","None",IF(RIGHT(E108,1)="S","SRB","CRB"))</f>
        <v>SRB</v>
      </c>
      <c r="J108" s="19" t="n">
        <f aca="false">IF(I108="None",0%,5%)</f>
        <v>0.05</v>
      </c>
      <c r="K108" s="15" t="n">
        <f aca="false">IF(LEFT(E108,1)="W",RANDBETWEEN(1,10),RANDBETWEEN(1,MIN(10,F108)))</f>
        <v>5</v>
      </c>
    </row>
    <row r="109" customFormat="false" ht="14.25" hidden="false" customHeight="false" outlineLevel="0" collapsed="false">
      <c r="A109" s="15" t="n">
        <v>108</v>
      </c>
      <c r="B109" s="15" t="str">
        <f aca="false" t="array" ref="B109:B109">IF(C109="M",INDEX('Random Lists'!$A$2:$A$56,COUNTIF($C$2:C109,"M")),INDEX('Random Lists'!$B$2:$B$55,COUNTIF($C$2:C109,"F")))</f>
        <v>NUR FARAHIN BINTI OSMAN</v>
      </c>
      <c r="C109" s="15" t="str">
        <f aca="true">IF(COUNTIF($C$2:C108,"M")&gt;=55,"F",IF(COUNTIF($C$2:C108,"F")&gt;=54,"M",IF(RAND()&lt;55/109,"M","F")))</f>
        <v>F</v>
      </c>
      <c r="D109" s="15" t="n">
        <f aca="false">RANDBETWEEN(18,60)</f>
        <v>58</v>
      </c>
      <c r="E109" s="15" t="str">
        <f aca="false">CHOOSE(RANDBETWEEN(1,9),"WNP","WPS","WPC","ENP","EPS","EPC","TNP","TPS","TPC")</f>
        <v>EPC</v>
      </c>
      <c r="F109" s="15" t="n">
        <f aca="false">IF(LEFT(E109,1)="W","N/A",CHOOSE(RANDBETWEEN(1,5),5,10,15,20,25))</f>
        <v>5</v>
      </c>
      <c r="G109" s="17" t="n">
        <f aca="false">CHOOSE(RANDBETWEEN(1,11),50000,60000,75000,80000,100000,120000,125000,150000,175000,180000,200000)</f>
        <v>125000</v>
      </c>
      <c r="H109" s="15" t="n">
        <f aca="false">IF(LEFT(E109,1)="W",CHOOSE(RANDBETWEEN(1,5),5,10,15,20,25),RANDBETWEEN(1,F109/5)*5)</f>
        <v>5</v>
      </c>
      <c r="I109" s="18" t="str">
        <f aca="false">IF(RIGHT(E109,2)="NP","None",IF(RIGHT(E109,1)="S","SRB","CRB"))</f>
        <v>CRB</v>
      </c>
      <c r="J109" s="19" t="n">
        <f aca="false">IF(I109="None",0%,5%)</f>
        <v>0.05</v>
      </c>
      <c r="K109" s="15" t="n">
        <f aca="false">IF(LEFT(E109,1)="W",RANDBETWEEN(1,10),RANDBETWEEN(1,MIN(10,F109)))</f>
        <v>3</v>
      </c>
    </row>
    <row r="110" customFormat="false" ht="14.25" hidden="false" customHeight="false" outlineLevel="0" collapsed="false">
      <c r="A110" s="15" t="n">
        <v>109</v>
      </c>
      <c r="B110" s="15" t="str">
        <f aca="false" t="array" ref="B110:B110">IF(C110="M",INDEX('Random Lists'!$A$2:$A$56,COUNTIF($C$2:C110,"M")),INDEX('Random Lists'!$B$2:$B$55,COUNTIF($C$2:C110,"F")))</f>
        <v>SITI HAZIRAH BINTI AZIZ</v>
      </c>
      <c r="C110" s="15" t="str">
        <f aca="true">IF(COUNTIF($C$2:C109,"M")&gt;=55,"F",IF(COUNTIF($C$2:C109,"F")&gt;=54,"M",IF(RAND()&lt;55/109,"M","F")))</f>
        <v>F</v>
      </c>
      <c r="D110" s="15" t="n">
        <f aca="false">RANDBETWEEN(18,60)</f>
        <v>26</v>
      </c>
      <c r="E110" s="15" t="str">
        <f aca="false">CHOOSE(RANDBETWEEN(1,9),"WNP","WPS","WPC","ENP","EPS","EPC","TNP","TPS","TPC")</f>
        <v>EPS</v>
      </c>
      <c r="F110" s="15" t="n">
        <f aca="false">IF(LEFT(E110,1)="W","N/A",CHOOSE(RANDBETWEEN(1,5),5,10,15,20,25))</f>
        <v>5</v>
      </c>
      <c r="G110" s="17" t="n">
        <f aca="false">CHOOSE(RANDBETWEEN(1,11),50000,60000,75000,80000,100000,120000,125000,150000,175000,180000,200000)</f>
        <v>175000</v>
      </c>
      <c r="H110" s="15" t="n">
        <f aca="false">IF(LEFT(E110,1)="W",CHOOSE(RANDBETWEEN(1,5),5,10,15,20,25),RANDBETWEEN(1,F110/5)*5)</f>
        <v>5</v>
      </c>
      <c r="I110" s="18" t="str">
        <f aca="false">IF(RIGHT(E110,2)="NP","None",IF(RIGHT(E110,1)="S","SRB","CRB"))</f>
        <v>SRB</v>
      </c>
      <c r="J110" s="19" t="n">
        <f aca="false">IF(I110="None",0%,5%)</f>
        <v>0.05</v>
      </c>
      <c r="K110" s="15" t="n">
        <f aca="false">IF(LEFT(E110,1)="W",RANDBETWEEN(1,10),RANDBETWEEN(1,MIN(10,F110)))</f>
        <v>1</v>
      </c>
    </row>
  </sheetData>
  <autoFilter ref="A1:K1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64" zoomScaleNormal="64" zoomScalePageLayoutView="100" workbookViewId="0">
      <pane xSplit="0" ySplit="1" topLeftCell="A2" activePane="bottomLeft" state="frozen"/>
      <selection pane="topLeft" activeCell="A1" activeCellId="0" sqref="A1"/>
      <selection pane="bottomLeft" activeCell="E19" activeCellId="0" sqref="E1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1" style="0" width="38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7" min="7" style="0" width="14"/>
  </cols>
  <sheetData>
    <row r="1" customFormat="false" ht="14.25" hidden="false" customHeight="false" outlineLevel="0" collapsed="false">
      <c r="A1" s="13" t="s">
        <v>72</v>
      </c>
      <c r="B1" s="13" t="s">
        <v>73</v>
      </c>
      <c r="C1" s="13"/>
      <c r="D1" s="13" t="s">
        <v>74</v>
      </c>
      <c r="E1" s="13" t="s">
        <v>75</v>
      </c>
      <c r="F1" s="13"/>
      <c r="G1" s="13"/>
    </row>
    <row r="2" customFormat="false" ht="14.25" hidden="false" customHeight="false" outlineLevel="0" collapsed="false">
      <c r="A2" s="0" t="s">
        <v>76</v>
      </c>
      <c r="B2" s="0" t="s">
        <v>77</v>
      </c>
      <c r="D2" s="0" t="s">
        <v>35</v>
      </c>
      <c r="E2" s="0" t="s">
        <v>78</v>
      </c>
    </row>
    <row r="3" customFormat="false" ht="14.25" hidden="false" customHeight="false" outlineLevel="0" collapsed="false">
      <c r="A3" s="0" t="s">
        <v>79</v>
      </c>
      <c r="B3" s="0" t="s">
        <v>80</v>
      </c>
      <c r="D3" s="0" t="s">
        <v>36</v>
      </c>
      <c r="E3" s="0" t="s">
        <v>81</v>
      </c>
    </row>
    <row r="4" customFormat="false" ht="14.25" hidden="false" customHeight="false" outlineLevel="0" collapsed="false">
      <c r="A4" s="0" t="s">
        <v>82</v>
      </c>
      <c r="B4" s="0" t="s">
        <v>83</v>
      </c>
      <c r="D4" s="0" t="s">
        <v>37</v>
      </c>
      <c r="E4" s="0" t="s">
        <v>84</v>
      </c>
    </row>
    <row r="5" customFormat="false" ht="14.25" hidden="false" customHeight="false" outlineLevel="0" collapsed="false">
      <c r="A5" s="0" t="s">
        <v>85</v>
      </c>
      <c r="B5" s="0" t="s">
        <v>86</v>
      </c>
      <c r="D5" s="0" t="s">
        <v>38</v>
      </c>
      <c r="E5" s="0" t="s">
        <v>87</v>
      </c>
    </row>
    <row r="6" customFormat="false" ht="14.25" hidden="false" customHeight="false" outlineLevel="0" collapsed="false">
      <c r="A6" s="0" t="s">
        <v>88</v>
      </c>
      <c r="B6" s="0" t="s">
        <v>89</v>
      </c>
      <c r="D6" s="0" t="s">
        <v>39</v>
      </c>
      <c r="E6" s="0" t="s">
        <v>90</v>
      </c>
    </row>
    <row r="7" customFormat="false" ht="14.25" hidden="false" customHeight="false" outlineLevel="0" collapsed="false">
      <c r="A7" s="0" t="s">
        <v>91</v>
      </c>
      <c r="B7" s="0" t="s">
        <v>92</v>
      </c>
      <c r="D7" s="0" t="s">
        <v>40</v>
      </c>
      <c r="E7" s="0" t="s">
        <v>93</v>
      </c>
    </row>
    <row r="8" customFormat="false" ht="14.25" hidden="false" customHeight="false" outlineLevel="0" collapsed="false">
      <c r="A8" s="0" t="s">
        <v>94</v>
      </c>
      <c r="B8" s="0" t="s">
        <v>95</v>
      </c>
      <c r="D8" s="0" t="s">
        <v>41</v>
      </c>
      <c r="E8" s="0" t="s">
        <v>96</v>
      </c>
    </row>
    <row r="9" customFormat="false" ht="14.25" hidden="false" customHeight="false" outlineLevel="0" collapsed="false">
      <c r="A9" s="0" t="s">
        <v>97</v>
      </c>
      <c r="B9" s="0" t="s">
        <v>98</v>
      </c>
      <c r="D9" s="0" t="s">
        <v>42</v>
      </c>
      <c r="E9" s="0" t="s">
        <v>99</v>
      </c>
    </row>
    <row r="10" customFormat="false" ht="14.25" hidden="false" customHeight="false" outlineLevel="0" collapsed="false">
      <c r="A10" s="0" t="s">
        <v>100</v>
      </c>
      <c r="B10" s="0" t="s">
        <v>101</v>
      </c>
      <c r="D10" s="0" t="s">
        <v>43</v>
      </c>
      <c r="E10" s="0" t="s">
        <v>102</v>
      </c>
    </row>
    <row r="11" customFormat="false" ht="14.25" hidden="false" customHeight="false" outlineLevel="0" collapsed="false">
      <c r="A11" s="0" t="s">
        <v>103</v>
      </c>
      <c r="B11" s="0" t="s">
        <v>104</v>
      </c>
    </row>
    <row r="12" customFormat="false" ht="14.25" hidden="false" customHeight="false" outlineLevel="0" collapsed="false">
      <c r="A12" s="0" t="s">
        <v>105</v>
      </c>
      <c r="B12" s="0" t="s">
        <v>106</v>
      </c>
    </row>
    <row r="13" customFormat="false" ht="14.25" hidden="false" customHeight="false" outlineLevel="0" collapsed="false">
      <c r="A13" s="0" t="s">
        <v>107</v>
      </c>
      <c r="B13" s="0" t="s">
        <v>108</v>
      </c>
    </row>
    <row r="14" customFormat="false" ht="14.25" hidden="false" customHeight="false" outlineLevel="0" collapsed="false">
      <c r="A14" s="0" t="s">
        <v>109</v>
      </c>
      <c r="B14" s="0" t="s">
        <v>110</v>
      </c>
    </row>
    <row r="15" customFormat="false" ht="14.25" hidden="false" customHeight="false" outlineLevel="0" collapsed="false">
      <c r="A15" s="0" t="s">
        <v>111</v>
      </c>
      <c r="B15" s="0" t="s">
        <v>112</v>
      </c>
    </row>
    <row r="16" customFormat="false" ht="14.25" hidden="false" customHeight="false" outlineLevel="0" collapsed="false">
      <c r="A16" s="0" t="s">
        <v>113</v>
      </c>
      <c r="B16" s="0" t="s">
        <v>114</v>
      </c>
    </row>
    <row r="17" customFormat="false" ht="14.25" hidden="false" customHeight="false" outlineLevel="0" collapsed="false">
      <c r="A17" s="0" t="s">
        <v>115</v>
      </c>
      <c r="B17" s="0" t="s">
        <v>116</v>
      </c>
    </row>
    <row r="18" customFormat="false" ht="14.25" hidden="false" customHeight="false" outlineLevel="0" collapsed="false">
      <c r="A18" s="0" t="s">
        <v>117</v>
      </c>
      <c r="B18" s="0" t="s">
        <v>118</v>
      </c>
    </row>
    <row r="19" customFormat="false" ht="14.25" hidden="false" customHeight="false" outlineLevel="0" collapsed="false">
      <c r="A19" s="0" t="s">
        <v>119</v>
      </c>
      <c r="B19" s="0" t="s">
        <v>120</v>
      </c>
    </row>
    <row r="20" customFormat="false" ht="14.25" hidden="false" customHeight="false" outlineLevel="0" collapsed="false">
      <c r="A20" s="0" t="s">
        <v>121</v>
      </c>
      <c r="B20" s="0" t="s">
        <v>122</v>
      </c>
    </row>
    <row r="21" customFormat="false" ht="14.25" hidden="false" customHeight="false" outlineLevel="0" collapsed="false">
      <c r="A21" s="0" t="s">
        <v>123</v>
      </c>
      <c r="B21" s="0" t="s">
        <v>124</v>
      </c>
    </row>
    <row r="22" customFormat="false" ht="14.25" hidden="false" customHeight="false" outlineLevel="0" collapsed="false">
      <c r="A22" s="0" t="s">
        <v>125</v>
      </c>
      <c r="B22" s="0" t="s">
        <v>126</v>
      </c>
    </row>
    <row r="23" customFormat="false" ht="14.25" hidden="false" customHeight="false" outlineLevel="0" collapsed="false">
      <c r="A23" s="0" t="s">
        <v>127</v>
      </c>
      <c r="B23" s="0" t="s">
        <v>128</v>
      </c>
    </row>
    <row r="24" customFormat="false" ht="14.25" hidden="false" customHeight="false" outlineLevel="0" collapsed="false">
      <c r="A24" s="0" t="s">
        <v>129</v>
      </c>
      <c r="B24" s="0" t="s">
        <v>130</v>
      </c>
    </row>
    <row r="25" customFormat="false" ht="14.25" hidden="false" customHeight="false" outlineLevel="0" collapsed="false">
      <c r="A25" s="0" t="s">
        <v>131</v>
      </c>
      <c r="B25" s="0" t="s">
        <v>132</v>
      </c>
    </row>
    <row r="26" customFormat="false" ht="14.25" hidden="false" customHeight="false" outlineLevel="0" collapsed="false">
      <c r="A26" s="0" t="s">
        <v>133</v>
      </c>
      <c r="B26" s="0" t="s">
        <v>134</v>
      </c>
    </row>
    <row r="27" customFormat="false" ht="14.25" hidden="false" customHeight="false" outlineLevel="0" collapsed="false">
      <c r="A27" s="0" t="s">
        <v>135</v>
      </c>
      <c r="B27" s="0" t="s">
        <v>136</v>
      </c>
    </row>
    <row r="28" customFormat="false" ht="14.25" hidden="false" customHeight="false" outlineLevel="0" collapsed="false">
      <c r="A28" s="0" t="s">
        <v>137</v>
      </c>
      <c r="B28" s="0" t="s">
        <v>138</v>
      </c>
    </row>
    <row r="29" customFormat="false" ht="14.25" hidden="false" customHeight="false" outlineLevel="0" collapsed="false">
      <c r="A29" s="0" t="s">
        <v>139</v>
      </c>
      <c r="B29" s="0" t="s">
        <v>140</v>
      </c>
    </row>
    <row r="30" customFormat="false" ht="14.25" hidden="false" customHeight="false" outlineLevel="0" collapsed="false">
      <c r="A30" s="0" t="s">
        <v>141</v>
      </c>
      <c r="B30" s="0" t="s">
        <v>142</v>
      </c>
    </row>
    <row r="31" customFormat="false" ht="14.25" hidden="false" customHeight="false" outlineLevel="0" collapsed="false">
      <c r="A31" s="0" t="s">
        <v>143</v>
      </c>
      <c r="B31" s="0" t="s">
        <v>144</v>
      </c>
    </row>
    <row r="32" customFormat="false" ht="14.25" hidden="false" customHeight="false" outlineLevel="0" collapsed="false">
      <c r="A32" s="0" t="s">
        <v>145</v>
      </c>
      <c r="B32" s="0" t="s">
        <v>146</v>
      </c>
    </row>
    <row r="33" customFormat="false" ht="14.25" hidden="false" customHeight="false" outlineLevel="0" collapsed="false">
      <c r="A33" s="0" t="s">
        <v>147</v>
      </c>
      <c r="B33" s="0" t="s">
        <v>148</v>
      </c>
    </row>
    <row r="34" customFormat="false" ht="14.25" hidden="false" customHeight="false" outlineLevel="0" collapsed="false">
      <c r="A34" s="0" t="s">
        <v>149</v>
      </c>
      <c r="B34" s="0" t="s">
        <v>150</v>
      </c>
    </row>
    <row r="35" customFormat="false" ht="14.25" hidden="false" customHeight="false" outlineLevel="0" collapsed="false">
      <c r="A35" s="0" t="s">
        <v>151</v>
      </c>
      <c r="B35" s="0" t="s">
        <v>152</v>
      </c>
    </row>
    <row r="36" customFormat="false" ht="14.25" hidden="false" customHeight="false" outlineLevel="0" collapsed="false">
      <c r="A36" s="0" t="s">
        <v>153</v>
      </c>
      <c r="B36" s="0" t="s">
        <v>154</v>
      </c>
    </row>
    <row r="37" customFormat="false" ht="14.25" hidden="false" customHeight="false" outlineLevel="0" collapsed="false">
      <c r="A37" s="0" t="s">
        <v>155</v>
      </c>
      <c r="B37" s="0" t="s">
        <v>156</v>
      </c>
    </row>
    <row r="38" customFormat="false" ht="14.25" hidden="false" customHeight="false" outlineLevel="0" collapsed="false">
      <c r="A38" s="0" t="s">
        <v>157</v>
      </c>
      <c r="B38" s="0" t="s">
        <v>158</v>
      </c>
    </row>
    <row r="39" customFormat="false" ht="14.25" hidden="false" customHeight="false" outlineLevel="0" collapsed="false">
      <c r="A39" s="0" t="s">
        <v>159</v>
      </c>
      <c r="B39" s="0" t="s">
        <v>160</v>
      </c>
    </row>
    <row r="40" customFormat="false" ht="14.25" hidden="false" customHeight="false" outlineLevel="0" collapsed="false">
      <c r="A40" s="0" t="s">
        <v>161</v>
      </c>
      <c r="B40" s="0" t="s">
        <v>162</v>
      </c>
    </row>
    <row r="41" customFormat="false" ht="14.25" hidden="false" customHeight="false" outlineLevel="0" collapsed="false">
      <c r="A41" s="0" t="s">
        <v>163</v>
      </c>
      <c r="B41" s="0" t="s">
        <v>164</v>
      </c>
    </row>
    <row r="42" customFormat="false" ht="14.25" hidden="false" customHeight="false" outlineLevel="0" collapsed="false">
      <c r="A42" s="0" t="s">
        <v>165</v>
      </c>
      <c r="B42" s="0" t="s">
        <v>166</v>
      </c>
    </row>
    <row r="43" customFormat="false" ht="14.25" hidden="false" customHeight="false" outlineLevel="0" collapsed="false">
      <c r="A43" s="0" t="s">
        <v>167</v>
      </c>
      <c r="B43" s="0" t="s">
        <v>168</v>
      </c>
    </row>
    <row r="44" customFormat="false" ht="14.25" hidden="false" customHeight="false" outlineLevel="0" collapsed="false">
      <c r="A44" s="0" t="s">
        <v>169</v>
      </c>
      <c r="B44" s="0" t="s">
        <v>170</v>
      </c>
    </row>
    <row r="45" customFormat="false" ht="14.25" hidden="false" customHeight="false" outlineLevel="0" collapsed="false">
      <c r="A45" s="0" t="s">
        <v>171</v>
      </c>
      <c r="B45" s="0" t="s">
        <v>172</v>
      </c>
    </row>
    <row r="46" customFormat="false" ht="14.25" hidden="false" customHeight="false" outlineLevel="0" collapsed="false">
      <c r="A46" s="0" t="s">
        <v>173</v>
      </c>
      <c r="B46" s="0" t="s">
        <v>174</v>
      </c>
    </row>
    <row r="47" customFormat="false" ht="14.25" hidden="false" customHeight="false" outlineLevel="0" collapsed="false">
      <c r="A47" s="0" t="s">
        <v>175</v>
      </c>
      <c r="B47" s="0" t="s">
        <v>176</v>
      </c>
    </row>
    <row r="48" customFormat="false" ht="14.25" hidden="false" customHeight="false" outlineLevel="0" collapsed="false">
      <c r="A48" s="0" t="s">
        <v>177</v>
      </c>
      <c r="B48" s="0" t="s">
        <v>178</v>
      </c>
    </row>
    <row r="49" customFormat="false" ht="14.25" hidden="false" customHeight="false" outlineLevel="0" collapsed="false">
      <c r="A49" s="0" t="s">
        <v>179</v>
      </c>
      <c r="B49" s="0" t="s">
        <v>180</v>
      </c>
    </row>
    <row r="50" customFormat="false" ht="14.25" hidden="false" customHeight="false" outlineLevel="0" collapsed="false">
      <c r="A50" s="0" t="s">
        <v>181</v>
      </c>
      <c r="B50" s="0" t="s">
        <v>182</v>
      </c>
    </row>
    <row r="51" customFormat="false" ht="14.25" hidden="false" customHeight="false" outlineLevel="0" collapsed="false">
      <c r="A51" s="0" t="s">
        <v>183</v>
      </c>
      <c r="B51" s="0" t="s">
        <v>184</v>
      </c>
    </row>
    <row r="52" customFormat="false" ht="14.25" hidden="false" customHeight="false" outlineLevel="0" collapsed="false">
      <c r="A52" s="0" t="s">
        <v>185</v>
      </c>
      <c r="B52" s="0" t="s">
        <v>186</v>
      </c>
    </row>
    <row r="53" customFormat="false" ht="14.25" hidden="false" customHeight="false" outlineLevel="0" collapsed="false">
      <c r="A53" s="0" t="s">
        <v>187</v>
      </c>
      <c r="B53" s="0" t="s">
        <v>188</v>
      </c>
    </row>
    <row r="54" customFormat="false" ht="14.25" hidden="false" customHeight="false" outlineLevel="0" collapsed="false">
      <c r="A54" s="0" t="s">
        <v>189</v>
      </c>
      <c r="B54" s="0" t="s">
        <v>190</v>
      </c>
    </row>
    <row r="55" customFormat="false" ht="14.25" hidden="false" customHeight="false" outlineLevel="0" collapsed="false">
      <c r="A55" s="0" t="s">
        <v>191</v>
      </c>
      <c r="B55" s="0" t="s">
        <v>192</v>
      </c>
    </row>
    <row r="56" customFormat="false" ht="14.25" hidden="false" customHeight="false" outlineLevel="0" collapsed="false">
      <c r="A56" s="0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5" activeCellId="0" sqref="J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10" style="0" width="75"/>
  </cols>
  <sheetData>
    <row r="1" customFormat="false" ht="15" hidden="false" customHeight="true" outlineLevel="0" collapsed="false">
      <c r="A1" s="20" t="s">
        <v>194</v>
      </c>
      <c r="B1" s="21" t="s">
        <v>195</v>
      </c>
      <c r="C1" s="21" t="s">
        <v>196</v>
      </c>
      <c r="D1" s="21" t="s">
        <v>197</v>
      </c>
      <c r="E1" s="21" t="s">
        <v>198</v>
      </c>
      <c r="F1" s="21" t="s">
        <v>199</v>
      </c>
      <c r="G1" s="21" t="s">
        <v>200</v>
      </c>
      <c r="H1" s="22" t="s">
        <v>201</v>
      </c>
      <c r="J1" s="14"/>
    </row>
    <row r="2" customFormat="false" ht="14.25" hidden="false" customHeight="false" outlineLevel="0" collapsed="false">
      <c r="A2" s="23" t="n">
        <v>10</v>
      </c>
      <c r="B2" s="24" t="n">
        <v>0.00157</v>
      </c>
      <c r="C2" s="25" t="n">
        <v>6755641.7</v>
      </c>
      <c r="D2" s="25" t="n">
        <v>155874750</v>
      </c>
      <c r="E2" s="25" t="n">
        <v>3130429877</v>
      </c>
      <c r="F2" s="11" t="n">
        <v>10198.42</v>
      </c>
      <c r="G2" s="11" t="n">
        <v>759934.67</v>
      </c>
      <c r="H2" s="11" t="n">
        <v>35426411.94</v>
      </c>
    </row>
    <row r="3" customFormat="false" ht="14.25" hidden="false" customHeight="false" outlineLevel="0" collapsed="false">
      <c r="A3" s="23" t="n">
        <v>11</v>
      </c>
      <c r="B3" s="24" t="n">
        <v>0.00156</v>
      </c>
      <c r="C3" s="25" t="n">
        <v>6485610.9</v>
      </c>
      <c r="D3" s="25" t="n">
        <v>149119108.3</v>
      </c>
      <c r="E3" s="25" t="n">
        <v>2974555127</v>
      </c>
      <c r="F3" s="11" t="n">
        <v>9728.42</v>
      </c>
      <c r="G3" s="11" t="n">
        <v>749736.25</v>
      </c>
      <c r="H3" s="11" t="n">
        <v>34666477.27</v>
      </c>
    </row>
    <row r="4" customFormat="false" ht="14.25" hidden="false" customHeight="false" outlineLevel="0" collapsed="false">
      <c r="A4" s="23" t="n">
        <v>12</v>
      </c>
      <c r="B4" s="24" t="n">
        <v>0.00149</v>
      </c>
      <c r="C4" s="25" t="n">
        <v>6226435.9</v>
      </c>
      <c r="D4" s="25" t="n">
        <v>142633497.4</v>
      </c>
      <c r="E4" s="25" t="n">
        <v>2825436018.7</v>
      </c>
      <c r="F4" s="11" t="n">
        <v>8920.57</v>
      </c>
      <c r="G4" s="11" t="n">
        <v>740007.84</v>
      </c>
      <c r="H4" s="11" t="n">
        <v>33916741.02</v>
      </c>
    </row>
    <row r="5" customFormat="false" ht="14.25" hidden="false" customHeight="false" outlineLevel="0" collapsed="false">
      <c r="A5" s="23" t="n">
        <v>13</v>
      </c>
      <c r="B5" s="24" t="n">
        <v>0.00145</v>
      </c>
      <c r="C5" s="25" t="n">
        <v>5978037</v>
      </c>
      <c r="D5" s="25" t="n">
        <v>136407061.5</v>
      </c>
      <c r="E5" s="25" t="n">
        <v>2682802521.2</v>
      </c>
      <c r="F5" s="11" t="n">
        <v>8334.76</v>
      </c>
      <c r="G5" s="11" t="n">
        <v>731087.27</v>
      </c>
      <c r="H5" s="11" t="n">
        <v>33176733.18</v>
      </c>
    </row>
    <row r="6" customFormat="false" ht="14.25" hidden="false" customHeight="false" outlineLevel="0" collapsed="false">
      <c r="A6" s="23" t="n">
        <v>14</v>
      </c>
      <c r="B6" s="24" t="n">
        <v>0.00144</v>
      </c>
      <c r="C6" s="25" t="n">
        <v>5739777.8</v>
      </c>
      <c r="D6" s="25" t="n">
        <v>130429024.5</v>
      </c>
      <c r="E6" s="25" t="n">
        <v>2546395459.7</v>
      </c>
      <c r="F6" s="11" t="n">
        <v>7947.38</v>
      </c>
      <c r="G6" s="11" t="n">
        <v>722752.51</v>
      </c>
      <c r="H6" s="11" t="n">
        <v>32445645.91</v>
      </c>
    </row>
    <row r="7" customFormat="false" ht="14.25" hidden="false" customHeight="false" outlineLevel="0" collapsed="false">
      <c r="A7" s="23" t="n">
        <v>15</v>
      </c>
      <c r="B7" s="24" t="n">
        <v>0.00144</v>
      </c>
      <c r="C7" s="25" t="n">
        <v>5511069.7</v>
      </c>
      <c r="D7" s="25" t="n">
        <v>124689246.7</v>
      </c>
      <c r="E7" s="25" t="n">
        <v>2415966435.2</v>
      </c>
      <c r="F7" s="11" t="n">
        <v>7630.71</v>
      </c>
      <c r="G7" s="11" t="n">
        <v>714805.12</v>
      </c>
      <c r="H7" s="11" t="n">
        <v>31722893.41</v>
      </c>
    </row>
    <row r="8" customFormat="false" ht="14.25" hidden="false" customHeight="false" outlineLevel="0" collapsed="false">
      <c r="A8" s="23" t="n">
        <v>16</v>
      </c>
      <c r="B8" s="24" t="n">
        <v>0.00148</v>
      </c>
      <c r="C8" s="25" t="n">
        <v>5291474.8</v>
      </c>
      <c r="D8" s="25" t="n">
        <v>119178177</v>
      </c>
      <c r="E8" s="25" t="n">
        <v>2291277188.4</v>
      </c>
      <c r="F8" s="11" t="n">
        <v>7530.18</v>
      </c>
      <c r="G8" s="11" t="n">
        <v>707174.41</v>
      </c>
      <c r="H8" s="11" t="n">
        <v>31008088.28</v>
      </c>
    </row>
    <row r="9" customFormat="false" ht="14.25" hidden="false" customHeight="false" outlineLevel="0" collapsed="false">
      <c r="A9" s="23" t="n">
        <v>17</v>
      </c>
      <c r="B9" s="24" t="n">
        <v>0.00154</v>
      </c>
      <c r="C9" s="25" t="n">
        <v>5080426.3</v>
      </c>
      <c r="D9" s="25" t="n">
        <v>113886702.3</v>
      </c>
      <c r="E9" s="25" t="n">
        <v>2172099011.4</v>
      </c>
      <c r="F9" s="11" t="n">
        <v>7522.94</v>
      </c>
      <c r="G9" s="11" t="n">
        <v>699644.23</v>
      </c>
      <c r="H9" s="11" t="n">
        <v>30300913.88</v>
      </c>
    </row>
    <row r="10" customFormat="false" ht="14.25" hidden="false" customHeight="false" outlineLevel="0" collapsed="false">
      <c r="A10" s="23" t="n">
        <v>18</v>
      </c>
      <c r="B10" s="24" t="n">
        <v>0.00163</v>
      </c>
      <c r="C10" s="25" t="n">
        <v>4877502.4</v>
      </c>
      <c r="D10" s="25" t="n">
        <v>108806275.9</v>
      </c>
      <c r="E10" s="25" t="n">
        <v>2058212309.2</v>
      </c>
      <c r="F10" s="11" t="n">
        <v>7644.55</v>
      </c>
      <c r="G10" s="11" t="n">
        <v>692121.29</v>
      </c>
      <c r="H10" s="11" t="n">
        <v>29601269.64</v>
      </c>
    </row>
    <row r="11" customFormat="false" ht="14.25" hidden="false" customHeight="false" outlineLevel="0" collapsed="false">
      <c r="A11" s="23" t="n">
        <v>19</v>
      </c>
      <c r="B11" s="24" t="n">
        <v>0.00176</v>
      </c>
      <c r="C11" s="25" t="n">
        <v>4682261.6</v>
      </c>
      <c r="D11" s="25" t="n">
        <v>103928773.5</v>
      </c>
      <c r="E11" s="25" t="n">
        <v>1949406033.2</v>
      </c>
      <c r="F11" s="11" t="n">
        <v>7923.83</v>
      </c>
      <c r="G11" s="11" t="n">
        <v>684476.75</v>
      </c>
      <c r="H11" s="11" t="n">
        <v>28909148.35</v>
      </c>
    </row>
    <row r="12" customFormat="false" ht="14.25" hidden="false" customHeight="false" outlineLevel="0" collapsed="false">
      <c r="A12" s="23" t="n">
        <v>20</v>
      </c>
      <c r="B12" s="24" t="n">
        <v>0.0019</v>
      </c>
      <c r="C12" s="25" t="n">
        <v>4494250.8</v>
      </c>
      <c r="D12" s="25" t="n">
        <v>99246512</v>
      </c>
      <c r="E12" s="25" t="n">
        <v>1845477259.7</v>
      </c>
      <c r="F12" s="11" t="n">
        <v>8210.65</v>
      </c>
      <c r="G12" s="11" t="n">
        <v>676552.92</v>
      </c>
      <c r="H12" s="11" t="n">
        <v>28224671.6</v>
      </c>
    </row>
    <row r="13" customFormat="false" ht="14.25" hidden="false" customHeight="false" outlineLevel="0" collapsed="false">
      <c r="A13" s="23" t="n">
        <v>21</v>
      </c>
      <c r="B13" s="24" t="n">
        <v>0.00207</v>
      </c>
      <c r="C13" s="25" t="n">
        <v>4313184.3</v>
      </c>
      <c r="D13" s="25" t="n">
        <v>94752261.2</v>
      </c>
      <c r="E13" s="25" t="n">
        <v>1746230747.7</v>
      </c>
      <c r="F13" s="11" t="n">
        <v>8584.9</v>
      </c>
      <c r="G13" s="11" t="n">
        <v>668342.27</v>
      </c>
      <c r="H13" s="11" t="n">
        <v>27548118.68</v>
      </c>
    </row>
    <row r="14" customFormat="false" ht="14.25" hidden="false" customHeight="false" outlineLevel="0" collapsed="false">
      <c r="A14" s="23" t="n">
        <v>22</v>
      </c>
      <c r="B14" s="24" t="n">
        <v>0.00219</v>
      </c>
      <c r="C14" s="25" t="n">
        <v>4138707.7</v>
      </c>
      <c r="D14" s="25" t="n">
        <v>90439076.8</v>
      </c>
      <c r="E14" s="25" t="n">
        <v>1651478486.6</v>
      </c>
      <c r="F14" s="11" t="n">
        <v>8715.16</v>
      </c>
      <c r="G14" s="11" t="n">
        <v>659757.37</v>
      </c>
      <c r="H14" s="11" t="n">
        <v>26879776.41</v>
      </c>
    </row>
    <row r="15" customFormat="false" ht="14.25" hidden="false" customHeight="false" outlineLevel="0" collapsed="false">
      <c r="A15" s="23" t="n">
        <v>23</v>
      </c>
      <c r="B15" s="24" t="n">
        <v>0.00218</v>
      </c>
      <c r="C15" s="25" t="n">
        <v>3970811.5</v>
      </c>
      <c r="D15" s="25" t="n">
        <v>86300369.1</v>
      </c>
      <c r="E15" s="25" t="n">
        <v>1561039409.7</v>
      </c>
      <c r="F15" s="11" t="n">
        <v>8323.43</v>
      </c>
      <c r="G15" s="11" t="n">
        <v>651042.21</v>
      </c>
      <c r="H15" s="11" t="n">
        <v>26220019.03</v>
      </c>
    </row>
    <row r="16" customFormat="false" ht="14.25" hidden="false" customHeight="false" outlineLevel="0" collapsed="false">
      <c r="A16" s="23" t="n">
        <v>24</v>
      </c>
      <c r="B16" s="24" t="n">
        <v>0.00211</v>
      </c>
      <c r="C16" s="25" t="n">
        <v>3809764.5</v>
      </c>
      <c r="D16" s="25" t="n">
        <v>82329557.6</v>
      </c>
      <c r="E16" s="25" t="n">
        <v>1474739040.6</v>
      </c>
      <c r="F16" s="11" t="n">
        <v>7729.43</v>
      </c>
      <c r="G16" s="11" t="n">
        <v>642718.78</v>
      </c>
      <c r="H16" s="11" t="n">
        <v>25568976.82</v>
      </c>
    </row>
    <row r="17" customFormat="false" ht="14.25" hidden="false" customHeight="false" outlineLevel="0" collapsed="false">
      <c r="A17" s="23" t="n">
        <v>25</v>
      </c>
      <c r="B17" s="24" t="n">
        <v>0.00204</v>
      </c>
      <c r="C17" s="25" t="n">
        <v>3655505.7</v>
      </c>
      <c r="D17" s="25" t="n">
        <v>78519793.1</v>
      </c>
      <c r="E17" s="25" t="n">
        <v>1392409483</v>
      </c>
      <c r="F17" s="11" t="n">
        <v>7170.42</v>
      </c>
      <c r="G17" s="11" t="n">
        <v>634989.35</v>
      </c>
      <c r="H17" s="11" t="n">
        <v>24926258.04</v>
      </c>
    </row>
    <row r="18" customFormat="false" ht="14.25" hidden="false" customHeight="false" outlineLevel="0" collapsed="false">
      <c r="A18" s="23" t="n">
        <v>26</v>
      </c>
      <c r="B18" s="24" t="n">
        <v>0.00198</v>
      </c>
      <c r="C18" s="25" t="n">
        <v>3507738.9</v>
      </c>
      <c r="D18" s="25" t="n">
        <v>74864287.4</v>
      </c>
      <c r="E18" s="25" t="n">
        <v>1313889689.9</v>
      </c>
      <c r="F18" s="11" t="n">
        <v>6678.2</v>
      </c>
      <c r="G18" s="11" t="n">
        <v>627818.94</v>
      </c>
      <c r="H18" s="11" t="n">
        <v>24291268.69</v>
      </c>
    </row>
    <row r="19" customFormat="false" ht="14.25" hidden="false" customHeight="false" outlineLevel="0" collapsed="false">
      <c r="A19" s="23" t="n">
        <v>27</v>
      </c>
      <c r="B19" s="24" t="n">
        <v>0.00192</v>
      </c>
      <c r="C19" s="25" t="n">
        <v>3366147.7</v>
      </c>
      <c r="D19" s="25" t="n">
        <v>71356548.4</v>
      </c>
      <c r="E19" s="25" t="n">
        <v>1239025402.6</v>
      </c>
      <c r="F19" s="11" t="n">
        <v>6214.43</v>
      </c>
      <c r="G19" s="11" t="n">
        <v>621140.74</v>
      </c>
      <c r="H19" s="11" t="n">
        <v>23663449.75</v>
      </c>
    </row>
    <row r="20" customFormat="false" ht="14.25" hidden="false" customHeight="false" outlineLevel="0" collapsed="false">
      <c r="A20" s="23" t="n">
        <v>28</v>
      </c>
      <c r="B20" s="24" t="n">
        <v>0.00187</v>
      </c>
      <c r="C20" s="25" t="n">
        <v>3230466.1</v>
      </c>
      <c r="D20" s="25" t="n">
        <v>67990400.7</v>
      </c>
      <c r="E20" s="25" t="n">
        <v>1167668854.1</v>
      </c>
      <c r="F20" s="11" t="n">
        <v>5808.63</v>
      </c>
      <c r="G20" s="11" t="n">
        <v>614926.32</v>
      </c>
      <c r="H20" s="11" t="n">
        <v>23042309.01</v>
      </c>
    </row>
    <row r="21" customFormat="false" ht="14.25" hidden="false" customHeight="false" outlineLevel="0" collapsed="false">
      <c r="A21" s="23" t="n">
        <v>29</v>
      </c>
      <c r="B21" s="24" t="n">
        <v>0.00182</v>
      </c>
      <c r="C21" s="25" t="n">
        <v>3100408.7</v>
      </c>
      <c r="D21" s="25" t="n">
        <v>64759934.7</v>
      </c>
      <c r="E21" s="25" t="n">
        <v>1099678453.4</v>
      </c>
      <c r="F21" s="11" t="n">
        <v>5425.72</v>
      </c>
      <c r="G21" s="11" t="n">
        <v>609117.69</v>
      </c>
      <c r="H21" s="11" t="n">
        <v>22427382.69</v>
      </c>
    </row>
    <row r="22" customFormat="false" ht="14.25" hidden="false" customHeight="false" outlineLevel="0" collapsed="false">
      <c r="A22" s="23" t="n">
        <v>30</v>
      </c>
      <c r="B22" s="24" t="n">
        <v>0.00178</v>
      </c>
      <c r="C22" s="25" t="n">
        <v>2975736.5</v>
      </c>
      <c r="D22" s="25" t="n">
        <v>61659525.9</v>
      </c>
      <c r="E22" s="25" t="n">
        <v>1034918518.7</v>
      </c>
      <c r="F22" s="11" t="n">
        <v>5093.09</v>
      </c>
      <c r="G22" s="11" t="n">
        <v>603691.97</v>
      </c>
      <c r="H22" s="11" t="n">
        <v>21818265</v>
      </c>
    </row>
    <row r="23" customFormat="false" ht="14.25" hidden="false" customHeight="false" outlineLevel="0" collapsed="false">
      <c r="A23" s="23" t="n">
        <v>31</v>
      </c>
      <c r="B23" s="24" t="n">
        <v>0.00177</v>
      </c>
      <c r="C23" s="25" t="n">
        <v>2856192</v>
      </c>
      <c r="D23" s="25" t="n">
        <v>58683789.4</v>
      </c>
      <c r="E23" s="25" t="n">
        <v>973258992.8</v>
      </c>
      <c r="F23" s="11" t="n">
        <v>4861.02</v>
      </c>
      <c r="G23" s="11" t="n">
        <v>598598.89</v>
      </c>
      <c r="H23" s="11" t="n">
        <v>21214573.03</v>
      </c>
    </row>
    <row r="24" customFormat="false" ht="14.25" hidden="false" customHeight="false" outlineLevel="0" collapsed="false">
      <c r="A24" s="23" t="n">
        <v>32</v>
      </c>
      <c r="B24" s="24" t="n">
        <v>0.00179</v>
      </c>
      <c r="C24" s="25" t="n">
        <v>2741477.5</v>
      </c>
      <c r="D24" s="25" t="n">
        <v>55827597.4</v>
      </c>
      <c r="E24" s="25" t="n">
        <v>914575203.4</v>
      </c>
      <c r="F24" s="11" t="n">
        <v>4718.5</v>
      </c>
      <c r="G24" s="11" t="n">
        <v>593737.87</v>
      </c>
      <c r="H24" s="11" t="n">
        <v>20615974.14</v>
      </c>
    </row>
    <row r="25" customFormat="false" ht="14.25" hidden="false" customHeight="false" outlineLevel="0" collapsed="false">
      <c r="A25" s="23" t="n">
        <v>33</v>
      </c>
      <c r="B25" s="24" t="n">
        <v>0.00185</v>
      </c>
      <c r="C25" s="25" t="n">
        <v>2631317.5</v>
      </c>
      <c r="D25" s="25" t="n">
        <v>53086119.9</v>
      </c>
      <c r="E25" s="25" t="n">
        <v>858747606</v>
      </c>
      <c r="F25" s="11" t="n">
        <v>4680.71</v>
      </c>
      <c r="G25" s="11" t="n">
        <v>589019.36</v>
      </c>
      <c r="H25" s="11" t="n">
        <v>20022236.27</v>
      </c>
    </row>
    <row r="26" customFormat="false" ht="14.25" hidden="false" customHeight="false" outlineLevel="0" collapsed="false">
      <c r="A26" s="23" t="n">
        <v>34</v>
      </c>
      <c r="B26" s="24" t="n">
        <v>0.00193</v>
      </c>
      <c r="C26" s="25" t="n">
        <v>2525432.3</v>
      </c>
      <c r="D26" s="25" t="n">
        <v>50454802.4</v>
      </c>
      <c r="E26" s="25" t="n">
        <v>805661486.1</v>
      </c>
      <c r="F26" s="11" t="n">
        <v>4686.62</v>
      </c>
      <c r="G26" s="11" t="n">
        <v>584338.65</v>
      </c>
      <c r="H26" s="11" t="n">
        <v>19433216.91</v>
      </c>
    </row>
    <row r="27" customFormat="false" ht="14.25" hidden="false" customHeight="false" outlineLevel="0" collapsed="false">
      <c r="A27" s="23" t="n">
        <v>35</v>
      </c>
      <c r="B27" s="24" t="n">
        <v>0.00202</v>
      </c>
      <c r="C27" s="25" t="n">
        <v>2423613.7</v>
      </c>
      <c r="D27" s="25" t="n">
        <v>47929370.1</v>
      </c>
      <c r="E27" s="25" t="n">
        <v>755206683.7</v>
      </c>
      <c r="F27" s="11" t="n">
        <v>4707.4</v>
      </c>
      <c r="G27" s="11" t="n">
        <v>579652.03</v>
      </c>
      <c r="H27" s="11" t="n">
        <v>18848878.26</v>
      </c>
    </row>
    <row r="28" customFormat="false" ht="14.25" hidden="false" customHeight="false" outlineLevel="0" collapsed="false">
      <c r="A28" s="23" t="n">
        <v>36</v>
      </c>
      <c r="B28" s="24" t="n">
        <v>0.00214</v>
      </c>
      <c r="C28" s="25" t="n">
        <v>2325690.4</v>
      </c>
      <c r="D28" s="25" t="n">
        <v>45505756.4</v>
      </c>
      <c r="E28" s="25" t="n">
        <v>707277313.6</v>
      </c>
      <c r="F28" s="11" t="n">
        <v>4785.56</v>
      </c>
      <c r="G28" s="11" t="n">
        <v>574944.63</v>
      </c>
      <c r="H28" s="11" t="n">
        <v>18269226.22</v>
      </c>
    </row>
    <row r="29" customFormat="false" ht="14.25" hidden="false" customHeight="false" outlineLevel="0" collapsed="false">
      <c r="A29" s="23" t="n">
        <v>37</v>
      </c>
      <c r="B29" s="24" t="n">
        <v>0.00226</v>
      </c>
      <c r="C29" s="25" t="n">
        <v>2231455.2</v>
      </c>
      <c r="D29" s="25" t="n">
        <v>43180066.1</v>
      </c>
      <c r="E29" s="25" t="n">
        <v>661771557.2</v>
      </c>
      <c r="F29" s="11" t="n">
        <v>4849.12</v>
      </c>
      <c r="G29" s="11" t="n">
        <v>570159.08</v>
      </c>
      <c r="H29" s="11" t="n">
        <v>17694281.59</v>
      </c>
    </row>
    <row r="30" customFormat="false" ht="14.25" hidden="false" customHeight="false" outlineLevel="0" collapsed="false">
      <c r="A30" s="23" t="n">
        <v>38</v>
      </c>
      <c r="B30" s="24" t="n">
        <v>0.00239</v>
      </c>
      <c r="C30" s="25" t="n">
        <v>2140780.8</v>
      </c>
      <c r="D30" s="25" t="n">
        <v>40948610.9</v>
      </c>
      <c r="E30" s="25" t="n">
        <v>618591491.1</v>
      </c>
      <c r="F30" s="11" t="n">
        <v>4919.68</v>
      </c>
      <c r="G30" s="11" t="n">
        <v>565309.95</v>
      </c>
      <c r="H30" s="11" t="n">
        <v>17124122.51</v>
      </c>
    </row>
    <row r="31" customFormat="false" ht="14.25" hidden="false" customHeight="false" outlineLevel="0" collapsed="false">
      <c r="A31" s="23" t="n">
        <v>39</v>
      </c>
      <c r="B31" s="24" t="n">
        <v>0.00254</v>
      </c>
      <c r="C31" s="25" t="n">
        <v>2053523.4</v>
      </c>
      <c r="D31" s="25" t="n">
        <v>38807830.1</v>
      </c>
      <c r="E31" s="25" t="n">
        <v>577642880.2</v>
      </c>
      <c r="F31" s="11" t="n">
        <v>5015.34</v>
      </c>
      <c r="G31" s="11" t="n">
        <v>560390.27</v>
      </c>
      <c r="H31" s="11" t="n">
        <v>16558812.56</v>
      </c>
    </row>
    <row r="32" customFormat="false" ht="14.25" hidden="false" customHeight="false" outlineLevel="0" collapsed="false">
      <c r="A32" s="23" t="n">
        <v>40</v>
      </c>
      <c r="B32" s="24" t="n">
        <v>0.00272</v>
      </c>
      <c r="C32" s="25" t="n">
        <v>1969526.4</v>
      </c>
      <c r="D32" s="25" t="n">
        <v>36754306.6</v>
      </c>
      <c r="E32" s="25" t="n">
        <v>538835050.1</v>
      </c>
      <c r="F32" s="11" t="n">
        <v>5151.07</v>
      </c>
      <c r="G32" s="11" t="n">
        <v>555374.94</v>
      </c>
      <c r="H32" s="11" t="n">
        <v>15998422.29</v>
      </c>
    </row>
    <row r="33" customFormat="false" ht="14.25" hidden="false" customHeight="false" outlineLevel="0" collapsed="false">
      <c r="A33" s="23" t="n">
        <v>41</v>
      </c>
      <c r="B33" s="24" t="n">
        <v>0.00293</v>
      </c>
      <c r="C33" s="25" t="n">
        <v>1888624.4</v>
      </c>
      <c r="D33" s="25" t="n">
        <v>34784780.2</v>
      </c>
      <c r="E33" s="25" t="n">
        <v>502080743.5</v>
      </c>
      <c r="F33" s="11" t="n">
        <v>5320.84</v>
      </c>
      <c r="G33" s="11" t="n">
        <v>550223.87</v>
      </c>
      <c r="H33" s="11" t="n">
        <v>15443047.35</v>
      </c>
    </row>
    <row r="34" customFormat="false" ht="14.25" hidden="false" customHeight="false" outlineLevel="0" collapsed="false">
      <c r="A34" s="23" t="n">
        <v>42</v>
      </c>
      <c r="B34" s="24" t="n">
        <v>0.00319</v>
      </c>
      <c r="C34" s="25" t="n">
        <v>1810664.1</v>
      </c>
      <c r="D34" s="25" t="n">
        <v>32896155.8</v>
      </c>
      <c r="E34" s="25" t="n">
        <v>467295963.4</v>
      </c>
      <c r="F34" s="11" t="n">
        <v>5553.86</v>
      </c>
      <c r="G34" s="11" t="n">
        <v>544903.03</v>
      </c>
      <c r="H34" s="11" t="n">
        <v>14892823.48</v>
      </c>
    </row>
    <row r="35" customFormat="false" ht="14.25" hidden="false" customHeight="false" outlineLevel="0" collapsed="false">
      <c r="A35" s="23" t="n">
        <v>43</v>
      </c>
      <c r="B35" s="24" t="n">
        <v>0.00349</v>
      </c>
      <c r="C35" s="25" t="n">
        <v>1735469.3</v>
      </c>
      <c r="D35" s="25" t="n">
        <v>31085491.7</v>
      </c>
      <c r="E35" s="25" t="n">
        <v>434399807.5</v>
      </c>
      <c r="F35" s="11" t="n">
        <v>5823.83</v>
      </c>
      <c r="G35" s="11" t="n">
        <v>539349.17</v>
      </c>
      <c r="H35" s="11" t="n">
        <v>14347920.45</v>
      </c>
    </row>
    <row r="36" customFormat="false" ht="14.25" hidden="false" customHeight="false" outlineLevel="0" collapsed="false">
      <c r="A36" s="23" t="n">
        <v>44</v>
      </c>
      <c r="B36" s="24" t="n">
        <v>0.00383</v>
      </c>
      <c r="C36" s="25" t="n">
        <v>1662896.7</v>
      </c>
      <c r="D36" s="25" t="n">
        <v>29350022.4</v>
      </c>
      <c r="E36" s="25" t="n">
        <v>403314315.8</v>
      </c>
      <c r="F36" s="11" t="n">
        <v>6123.94</v>
      </c>
      <c r="G36" s="11" t="n">
        <v>533525.33</v>
      </c>
      <c r="H36" s="11" t="n">
        <v>13808571.28</v>
      </c>
    </row>
    <row r="37" customFormat="false" ht="14.25" hidden="false" customHeight="false" outlineLevel="0" collapsed="false">
      <c r="A37" s="23" t="n">
        <v>45</v>
      </c>
      <c r="B37" s="24" t="n">
        <v>0.00419</v>
      </c>
      <c r="C37" s="25" t="n">
        <v>1592815.2</v>
      </c>
      <c r="D37" s="25" t="n">
        <v>27687125.7</v>
      </c>
      <c r="E37" s="25" t="n">
        <v>373964293.5</v>
      </c>
      <c r="F37" s="11" t="n">
        <v>6417.21</v>
      </c>
      <c r="G37" s="11" t="n">
        <v>527401.4</v>
      </c>
      <c r="H37" s="11" t="n">
        <v>13275045.95</v>
      </c>
    </row>
    <row r="38" customFormat="false" ht="14.25" hidden="false" customHeight="false" outlineLevel="0" collapsed="false">
      <c r="A38" s="23" t="n">
        <v>46</v>
      </c>
      <c r="B38" s="24" t="n">
        <v>0.0046</v>
      </c>
      <c r="C38" s="25" t="n">
        <v>1525135.8</v>
      </c>
      <c r="D38" s="25" t="n">
        <v>26094310.5</v>
      </c>
      <c r="E38" s="25" t="n">
        <v>346277167.8</v>
      </c>
      <c r="F38" s="11" t="n">
        <v>6745.79</v>
      </c>
      <c r="G38" s="11" t="n">
        <v>520984.19</v>
      </c>
      <c r="H38" s="11" t="n">
        <v>12747644.55</v>
      </c>
    </row>
    <row r="39" customFormat="false" ht="14.25" hidden="false" customHeight="false" outlineLevel="0" collapsed="false">
      <c r="A39" s="23" t="n">
        <v>47</v>
      </c>
      <c r="B39" s="24" t="n">
        <v>0.00505</v>
      </c>
      <c r="C39" s="25" t="n">
        <v>1459731</v>
      </c>
      <c r="D39" s="25" t="n">
        <v>24569174.7</v>
      </c>
      <c r="E39" s="25" t="n">
        <v>320182857.2</v>
      </c>
      <c r="F39" s="11" t="n">
        <v>7088.12</v>
      </c>
      <c r="G39" s="11" t="n">
        <v>514238.4</v>
      </c>
      <c r="H39" s="11" t="n">
        <v>12226660.36</v>
      </c>
    </row>
    <row r="40" customFormat="false" ht="14.25" hidden="false" customHeight="false" outlineLevel="0" collapsed="false">
      <c r="A40" s="23" t="n">
        <v>48</v>
      </c>
      <c r="B40" s="24" t="n">
        <v>0.00552</v>
      </c>
      <c r="C40" s="25" t="n">
        <v>1396499.4</v>
      </c>
      <c r="D40" s="25" t="n">
        <v>23109443.7</v>
      </c>
      <c r="E40" s="25" t="n">
        <v>295613682.5</v>
      </c>
      <c r="F40" s="11" t="n">
        <v>7412.19</v>
      </c>
      <c r="G40" s="11" t="n">
        <v>507150.28</v>
      </c>
      <c r="H40" s="11" t="n">
        <v>11712421.97</v>
      </c>
    </row>
    <row r="41" customFormat="false" ht="14.25" hidden="false" customHeight="false" outlineLevel="0" collapsed="false">
      <c r="A41" s="23" t="n">
        <v>49</v>
      </c>
      <c r="B41" s="24" t="n">
        <v>0.00603</v>
      </c>
      <c r="C41" s="25" t="n">
        <v>1335375.7</v>
      </c>
      <c r="D41" s="25" t="n">
        <v>21712944.4</v>
      </c>
      <c r="E41" s="25" t="n">
        <v>272504238.8</v>
      </c>
      <c r="F41" s="11" t="n">
        <v>7742.61</v>
      </c>
      <c r="G41" s="11" t="n">
        <v>499738.09</v>
      </c>
      <c r="H41" s="11" t="n">
        <v>11205271.69</v>
      </c>
    </row>
    <row r="42" customFormat="false" ht="14.25" hidden="false" customHeight="false" outlineLevel="0" collapsed="false">
      <c r="A42" s="23" t="n">
        <v>50</v>
      </c>
      <c r="B42" s="24" t="n">
        <v>0.0066</v>
      </c>
      <c r="C42" s="25" t="n">
        <v>1276272.4</v>
      </c>
      <c r="D42" s="25" t="n">
        <v>20377568.7</v>
      </c>
      <c r="E42" s="25" t="n">
        <v>250791294.4</v>
      </c>
      <c r="F42" s="11" t="n">
        <v>8099.42</v>
      </c>
      <c r="G42" s="11" t="n">
        <v>491995.48</v>
      </c>
      <c r="H42" s="11" t="n">
        <v>10705533.6</v>
      </c>
    </row>
    <row r="43" customFormat="false" ht="14.25" hidden="false" customHeight="false" outlineLevel="0" collapsed="false">
      <c r="A43" s="23" t="n">
        <v>51</v>
      </c>
      <c r="B43" s="24" t="n">
        <v>0.00721</v>
      </c>
      <c r="C43" s="25" t="n">
        <v>1219085.6</v>
      </c>
      <c r="D43" s="25" t="n">
        <v>19101296.3</v>
      </c>
      <c r="E43" s="25" t="n">
        <v>230413725.7</v>
      </c>
      <c r="F43" s="11" t="n">
        <v>8451.55</v>
      </c>
      <c r="G43" s="11" t="n">
        <v>483896.06</v>
      </c>
      <c r="H43" s="11" t="n">
        <v>10213538.12</v>
      </c>
    </row>
    <row r="44" customFormat="false" ht="14.25" hidden="false" customHeight="false" outlineLevel="0" collapsed="false">
      <c r="A44" s="23" t="n">
        <v>52</v>
      </c>
      <c r="B44" s="24" t="n">
        <v>0.0079</v>
      </c>
      <c r="C44" s="25" t="n">
        <v>1163746.2</v>
      </c>
      <c r="D44" s="25" t="n">
        <v>17882210.6</v>
      </c>
      <c r="E44" s="25" t="n">
        <v>211312429.5</v>
      </c>
      <c r="F44" s="11" t="n">
        <v>8839.99</v>
      </c>
      <c r="G44" s="11" t="n">
        <v>475444.51</v>
      </c>
      <c r="H44" s="11" t="n">
        <v>9729642.06</v>
      </c>
    </row>
    <row r="45" customFormat="false" ht="14.25" hidden="false" customHeight="false" outlineLevel="0" collapsed="false">
      <c r="A45" s="23" t="n">
        <v>53</v>
      </c>
      <c r="B45" s="24" t="n">
        <v>0.00866</v>
      </c>
      <c r="C45" s="25" t="n">
        <v>1110146.7</v>
      </c>
      <c r="D45" s="25" t="n">
        <v>16718464.5</v>
      </c>
      <c r="E45" s="25" t="n">
        <v>193430218.8</v>
      </c>
      <c r="F45" s="11" t="n">
        <v>9244.11</v>
      </c>
      <c r="G45" s="11" t="n">
        <v>466604.52</v>
      </c>
      <c r="H45" s="11" t="n">
        <v>9254197.54</v>
      </c>
    </row>
    <row r="46" customFormat="false" ht="14.25" hidden="false" customHeight="false" outlineLevel="0" collapsed="false">
      <c r="A46" s="23" t="n">
        <v>54</v>
      </c>
      <c r="B46" s="24" t="n">
        <v>0.00946</v>
      </c>
      <c r="C46" s="25" t="n">
        <v>1058204.6</v>
      </c>
      <c r="D46" s="25" t="n">
        <v>15608317.8</v>
      </c>
      <c r="E46" s="25" t="n">
        <v>176711754.3</v>
      </c>
      <c r="F46" s="11" t="n">
        <v>9625.59</v>
      </c>
      <c r="G46" s="11" t="n">
        <v>457360.41</v>
      </c>
      <c r="H46" s="11" t="n">
        <v>8787593.03</v>
      </c>
    </row>
    <row r="47" customFormat="false" ht="14.25" hidden="false" customHeight="false" outlineLevel="0" collapsed="false">
      <c r="A47" s="23" t="n">
        <v>55</v>
      </c>
      <c r="B47" s="24" t="n">
        <v>0.01033</v>
      </c>
      <c r="C47" s="25" t="n">
        <v>1007878.9</v>
      </c>
      <c r="D47" s="25" t="n">
        <v>14550113.1</v>
      </c>
      <c r="E47" s="25" t="n">
        <v>161103436.6</v>
      </c>
      <c r="F47" s="11" t="n">
        <v>10010.95</v>
      </c>
      <c r="G47" s="11" t="n">
        <v>447734.82</v>
      </c>
      <c r="H47" s="11" t="n">
        <v>8330232.61</v>
      </c>
    </row>
    <row r="48" customFormat="false" ht="14.25" hidden="false" customHeight="false" outlineLevel="0" collapsed="false">
      <c r="A48" s="23" t="n">
        <v>56</v>
      </c>
      <c r="B48" s="24" t="n">
        <v>0.01122</v>
      </c>
      <c r="C48" s="25" t="n">
        <v>959103.4</v>
      </c>
      <c r="D48" s="25" t="n">
        <v>13542234.2</v>
      </c>
      <c r="E48" s="25" t="n">
        <v>146553323.5</v>
      </c>
      <c r="F48" s="11" t="n">
        <v>10347.25</v>
      </c>
      <c r="G48" s="11" t="n">
        <v>437723.87</v>
      </c>
      <c r="H48" s="11" t="n">
        <v>7882497.79</v>
      </c>
    </row>
    <row r="49" customFormat="false" ht="14.25" hidden="false" customHeight="false" outlineLevel="0" collapsed="false">
      <c r="A49" s="23" t="n">
        <v>57</v>
      </c>
      <c r="B49" s="24" t="n">
        <v>0.0121</v>
      </c>
      <c r="C49" s="25" t="n">
        <v>911867.5</v>
      </c>
      <c r="D49" s="25" t="n">
        <v>12583130.9</v>
      </c>
      <c r="E49" s="25" t="n">
        <v>133011089.2</v>
      </c>
      <c r="F49" s="11" t="n">
        <v>10609.23</v>
      </c>
      <c r="G49" s="11" t="n">
        <v>427376.62</v>
      </c>
      <c r="H49" s="11" t="n">
        <v>7444773.93</v>
      </c>
    </row>
    <row r="50" customFormat="false" ht="14.25" hidden="false" customHeight="false" outlineLevel="0" collapsed="false">
      <c r="A50" s="23" t="n">
        <v>58</v>
      </c>
      <c r="B50" s="24" t="n">
        <v>0.01295</v>
      </c>
      <c r="C50" s="25" t="n">
        <v>866186.5</v>
      </c>
      <c r="D50" s="25" t="n">
        <v>11671263.4</v>
      </c>
      <c r="E50" s="25" t="n">
        <v>120427958.3</v>
      </c>
      <c r="F50" s="11" t="n">
        <v>10785.69</v>
      </c>
      <c r="G50" s="11" t="n">
        <v>416767.39</v>
      </c>
      <c r="H50" s="11" t="n">
        <v>7017397.31</v>
      </c>
    </row>
    <row r="51" customFormat="false" ht="14.25" hidden="false" customHeight="false" outlineLevel="0" collapsed="false">
      <c r="A51" s="23" t="n">
        <v>59</v>
      </c>
      <c r="B51" s="24" t="n">
        <v>0.01381</v>
      </c>
      <c r="C51" s="25" t="n">
        <v>822085.9</v>
      </c>
      <c r="D51" s="25" t="n">
        <v>10805076.9</v>
      </c>
      <c r="E51" s="25" t="n">
        <v>108756694.9</v>
      </c>
      <c r="F51" s="11" t="n">
        <v>10916.35</v>
      </c>
      <c r="G51" s="11" t="n">
        <v>405981.7</v>
      </c>
      <c r="H51" s="11" t="n">
        <v>6600629.91</v>
      </c>
    </row>
    <row r="52" customFormat="false" ht="14.25" hidden="false" customHeight="false" outlineLevel="0" collapsed="false">
      <c r="A52" s="23" t="n">
        <v>60</v>
      </c>
      <c r="B52" s="24" t="n">
        <v>0.01479</v>
      </c>
      <c r="C52" s="25" t="n">
        <v>779550.9</v>
      </c>
      <c r="D52" s="25" t="n">
        <v>9982991</v>
      </c>
      <c r="E52" s="25" t="n">
        <v>97951618</v>
      </c>
      <c r="F52" s="11" t="n">
        <v>11086.11</v>
      </c>
      <c r="G52" s="11" t="n">
        <v>395065.35</v>
      </c>
      <c r="H52" s="11" t="n">
        <v>6194648.21</v>
      </c>
    </row>
    <row r="53" customFormat="false" ht="14.25" hidden="false" customHeight="false" outlineLevel="0" collapsed="false">
      <c r="A53" s="23" t="n">
        <v>61</v>
      </c>
      <c r="B53" s="24" t="n">
        <v>0.01597</v>
      </c>
      <c r="C53" s="25" t="n">
        <v>738482</v>
      </c>
      <c r="D53" s="25" t="n">
        <v>9203440.1</v>
      </c>
      <c r="E53" s="25" t="n">
        <v>87968627</v>
      </c>
      <c r="F53" s="11" t="n">
        <v>11339.96</v>
      </c>
      <c r="G53" s="11" t="n">
        <v>383979.24</v>
      </c>
      <c r="H53" s="11" t="n">
        <v>5799582.86</v>
      </c>
    </row>
    <row r="54" customFormat="false" ht="14.25" hidden="false" customHeight="false" outlineLevel="0" collapsed="false">
      <c r="A54" s="23" t="n">
        <v>62</v>
      </c>
      <c r="B54" s="24" t="n">
        <v>0.01741</v>
      </c>
      <c r="C54" s="25" t="n">
        <v>698738.9</v>
      </c>
      <c r="D54" s="25" t="n">
        <v>8464958.1</v>
      </c>
      <c r="E54" s="25" t="n">
        <v>78765186.9</v>
      </c>
      <c r="F54" s="11" t="n">
        <v>11697.16</v>
      </c>
      <c r="G54" s="11" t="n">
        <v>372639.28</v>
      </c>
      <c r="H54" s="11" t="n">
        <v>5415603.62</v>
      </c>
    </row>
    <row r="55" customFormat="false" ht="14.25" hidden="false" customHeight="false" outlineLevel="0" collapsed="false">
      <c r="A55" s="23" t="n">
        <v>63</v>
      </c>
      <c r="B55" s="24" t="n">
        <v>0.01903</v>
      </c>
      <c r="C55" s="25" t="n">
        <v>660167.2</v>
      </c>
      <c r="D55" s="25" t="n">
        <v>7766219.2</v>
      </c>
      <c r="E55" s="25" t="n">
        <v>70300228.8</v>
      </c>
      <c r="F55" s="11" t="n">
        <v>12079.79</v>
      </c>
      <c r="G55" s="11" t="n">
        <v>360942.12</v>
      </c>
      <c r="H55" s="11" t="n">
        <v>5042964.34</v>
      </c>
    </row>
    <row r="56" customFormat="false" ht="14.25" hidden="false" customHeight="false" outlineLevel="0" collapsed="false">
      <c r="A56" s="23" t="n">
        <v>64</v>
      </c>
      <c r="B56" s="24" t="n">
        <v>0.02084</v>
      </c>
      <c r="C56" s="25" t="n">
        <v>622696.3</v>
      </c>
      <c r="D56" s="25" t="n">
        <v>7106052</v>
      </c>
      <c r="E56" s="25" t="n">
        <v>62534009.6</v>
      </c>
      <c r="F56" s="11" t="n">
        <v>12477.88</v>
      </c>
      <c r="G56" s="11" t="n">
        <v>348862.33</v>
      </c>
      <c r="H56" s="11" t="n">
        <v>4682022.22</v>
      </c>
    </row>
    <row r="57" customFormat="false" ht="14.25" hidden="false" customHeight="false" outlineLevel="0" collapsed="false">
      <c r="A57" s="23" t="n">
        <v>65</v>
      </c>
      <c r="B57" s="24" t="n">
        <v>0.02286</v>
      </c>
      <c r="C57" s="25" t="n">
        <v>586268.6</v>
      </c>
      <c r="D57" s="25" t="n">
        <v>6483355.7</v>
      </c>
      <c r="E57" s="25" t="n">
        <v>55427957.5</v>
      </c>
      <c r="F57" s="11" t="n">
        <v>12886.64</v>
      </c>
      <c r="G57" s="11" t="n">
        <v>336384.45</v>
      </c>
      <c r="H57" s="11" t="n">
        <v>4333159.89</v>
      </c>
    </row>
    <row r="58" customFormat="false" ht="14.25" hidden="false" customHeight="false" outlineLevel="0" collapsed="false">
      <c r="A58" s="23" t="n">
        <v>66</v>
      </c>
      <c r="B58" s="24" t="n">
        <v>0.02506</v>
      </c>
      <c r="C58" s="25" t="n">
        <v>550833.2</v>
      </c>
      <c r="D58" s="25" t="n">
        <v>5897087.1</v>
      </c>
      <c r="E58" s="25" t="n">
        <v>48944601.9</v>
      </c>
      <c r="F58" s="11" t="n">
        <v>13272.96</v>
      </c>
      <c r="G58" s="11" t="n">
        <v>323497.82</v>
      </c>
      <c r="H58" s="11" t="n">
        <v>3996775.43</v>
      </c>
    </row>
    <row r="59" customFormat="false" ht="14.25" hidden="false" customHeight="false" outlineLevel="0" collapsed="false">
      <c r="A59" s="23" t="n">
        <v>67</v>
      </c>
      <c r="B59" s="24" t="n">
        <v>0.02755</v>
      </c>
      <c r="C59" s="25" t="n">
        <v>516374.3</v>
      </c>
      <c r="D59" s="25" t="n">
        <v>5346253.9</v>
      </c>
      <c r="E59" s="25" t="n">
        <v>43047514.8</v>
      </c>
      <c r="F59" s="11" t="n">
        <v>13678.95</v>
      </c>
      <c r="G59" s="11" t="n">
        <v>310224.86</v>
      </c>
      <c r="H59" s="11" t="n">
        <v>3673277.61</v>
      </c>
    </row>
    <row r="60" customFormat="false" ht="14.25" hidden="false" customHeight="false" outlineLevel="0" collapsed="false">
      <c r="A60" s="23" t="n">
        <v>68</v>
      </c>
      <c r="B60" s="24" t="n">
        <v>0.03019</v>
      </c>
      <c r="C60" s="25" t="n">
        <v>482834.8</v>
      </c>
      <c r="D60" s="25" t="n">
        <v>4829879.5</v>
      </c>
      <c r="E60" s="25" t="n">
        <v>37701260.9</v>
      </c>
      <c r="F60" s="11" t="n">
        <v>14016.14</v>
      </c>
      <c r="G60" s="11" t="n">
        <v>296545.9</v>
      </c>
      <c r="H60" s="11" t="n">
        <v>3363052.75</v>
      </c>
    </row>
    <row r="61" customFormat="false" ht="14.25" hidden="false" customHeight="false" outlineLevel="0" collapsed="false">
      <c r="A61" s="23" t="n">
        <v>69</v>
      </c>
      <c r="B61" s="24" t="n">
        <v>0.03303</v>
      </c>
      <c r="C61" s="25" t="n">
        <v>450248.1</v>
      </c>
      <c r="D61" s="25" t="n">
        <v>4347044.7</v>
      </c>
      <c r="E61" s="25" t="n">
        <v>32871381.4</v>
      </c>
      <c r="F61" s="11" t="n">
        <v>14299.71</v>
      </c>
      <c r="G61" s="11" t="n">
        <v>282529.77</v>
      </c>
      <c r="H61" s="11" t="n">
        <v>3066506.85</v>
      </c>
    </row>
    <row r="62" customFormat="false" ht="14.25" hidden="false" customHeight="false" outlineLevel="0" collapsed="false">
      <c r="A62" s="23" t="n">
        <v>70</v>
      </c>
      <c r="B62" s="24" t="n">
        <v>0.03615</v>
      </c>
      <c r="C62" s="25" t="n">
        <v>418631.2</v>
      </c>
      <c r="D62" s="25" t="n">
        <v>3896796.6</v>
      </c>
      <c r="E62" s="25" t="n">
        <v>28524336.7</v>
      </c>
      <c r="F62" s="11" t="n">
        <v>14551.46</v>
      </c>
      <c r="G62" s="11" t="n">
        <v>268230.06</v>
      </c>
      <c r="H62" s="11" t="n">
        <v>2783977.08</v>
      </c>
    </row>
    <row r="63" customFormat="false" ht="14.25" hidden="false" customHeight="false" outlineLevel="0" collapsed="false">
      <c r="A63" s="23" t="n">
        <v>71</v>
      </c>
      <c r="B63" s="24" t="n">
        <v>0.03961</v>
      </c>
      <c r="C63" s="25" t="n">
        <v>387978.5</v>
      </c>
      <c r="D63" s="25" t="n">
        <v>3478165.4</v>
      </c>
      <c r="E63" s="25" t="n">
        <v>24627540</v>
      </c>
      <c r="F63" s="11" t="n">
        <v>14776.76</v>
      </c>
      <c r="G63" s="11" t="n">
        <v>253678.6</v>
      </c>
      <c r="H63" s="11" t="n">
        <v>2515747.02</v>
      </c>
    </row>
    <row r="64" customFormat="false" ht="14.25" hidden="false" customHeight="false" outlineLevel="0" collapsed="false">
      <c r="A64" s="23" t="n">
        <v>72</v>
      </c>
      <c r="B64" s="24" t="n">
        <v>0.04345</v>
      </c>
      <c r="C64" s="25" t="n">
        <v>358279.5</v>
      </c>
      <c r="D64" s="25" t="n">
        <v>3090186.9</v>
      </c>
      <c r="E64" s="25" t="n">
        <v>21149374.6</v>
      </c>
      <c r="F64" s="11" t="n">
        <v>14968.5</v>
      </c>
      <c r="G64" s="11" t="n">
        <v>238901.84</v>
      </c>
      <c r="H64" s="11" t="n">
        <v>2262068.42</v>
      </c>
    </row>
    <row r="65" customFormat="false" ht="14.25" hidden="false" customHeight="false" outlineLevel="0" collapsed="false">
      <c r="A65" s="23" t="n">
        <v>73</v>
      </c>
      <c r="B65" s="24" t="n">
        <v>0.04756</v>
      </c>
      <c r="C65" s="25" t="n">
        <v>329531</v>
      </c>
      <c r="D65" s="25" t="n">
        <v>2731907.4</v>
      </c>
      <c r="E65" s="25" t="n">
        <v>18059187.7</v>
      </c>
      <c r="F65" s="11" t="n">
        <v>15069.71</v>
      </c>
      <c r="G65" s="11" t="n">
        <v>223933.34</v>
      </c>
      <c r="H65" s="11" t="n">
        <v>2023166.58</v>
      </c>
    </row>
    <row r="66" customFormat="false" ht="14.25" hidden="false" customHeight="false" outlineLevel="0" collapsed="false">
      <c r="A66" s="23" t="n">
        <v>74</v>
      </c>
      <c r="B66" s="24" t="n">
        <v>0.052</v>
      </c>
      <c r="C66" s="25" t="n">
        <v>301787</v>
      </c>
      <c r="D66" s="25" t="n">
        <v>2402376.4</v>
      </c>
      <c r="E66" s="25" t="n">
        <v>15327280.3</v>
      </c>
      <c r="F66" s="11" t="n">
        <v>15089.35</v>
      </c>
      <c r="G66" s="11" t="n">
        <v>208863.63</v>
      </c>
      <c r="H66" s="11" t="n">
        <v>1799233.24</v>
      </c>
    </row>
    <row r="67" customFormat="false" ht="14.25" hidden="false" customHeight="false" outlineLevel="0" collapsed="false">
      <c r="A67" s="23" t="n">
        <v>75</v>
      </c>
      <c r="B67" s="24" t="n">
        <v>0.05684</v>
      </c>
      <c r="C67" s="25" t="n">
        <v>275090.5</v>
      </c>
      <c r="D67" s="25" t="n">
        <v>2100589.3</v>
      </c>
      <c r="E67" s="25" t="n">
        <v>12924903.9</v>
      </c>
      <c r="F67" s="11" t="n">
        <v>15034.75</v>
      </c>
      <c r="G67" s="11" t="n">
        <v>193774.28</v>
      </c>
      <c r="H67" s="11" t="n">
        <v>1590369.61</v>
      </c>
    </row>
    <row r="68" customFormat="false" ht="14.25" hidden="false" customHeight="false" outlineLevel="0" collapsed="false">
      <c r="A68" s="23" t="n">
        <v>76</v>
      </c>
      <c r="B68" s="24" t="n">
        <v>0.06215</v>
      </c>
      <c r="C68" s="25" t="n">
        <v>249475.3</v>
      </c>
      <c r="D68" s="25" t="n">
        <v>1825498.8</v>
      </c>
      <c r="E68" s="25" t="n">
        <v>10824314.5</v>
      </c>
      <c r="F68" s="11" t="n">
        <v>14908.55</v>
      </c>
      <c r="G68" s="11" t="n">
        <v>178739.52</v>
      </c>
      <c r="H68" s="11" t="n">
        <v>1396595.33</v>
      </c>
    </row>
    <row r="69" customFormat="false" ht="14.25" hidden="false" customHeight="false" outlineLevel="0" collapsed="false">
      <c r="A69" s="23" t="n">
        <v>77</v>
      </c>
      <c r="B69" s="24" t="n">
        <v>0.06799</v>
      </c>
      <c r="C69" s="25" t="n">
        <v>224971.6</v>
      </c>
      <c r="D69" s="25" t="n">
        <v>1576023.5</v>
      </c>
      <c r="E69" s="25" t="n">
        <v>8998815.7</v>
      </c>
      <c r="F69" s="11" t="n">
        <v>14707.52</v>
      </c>
      <c r="G69" s="11" t="n">
        <v>163830.97</v>
      </c>
      <c r="H69" s="11" t="n">
        <v>1217855.81</v>
      </c>
    </row>
    <row r="70" customFormat="false" ht="14.25" hidden="false" customHeight="false" outlineLevel="0" collapsed="false">
      <c r="A70" s="23" t="n">
        <v>78</v>
      </c>
      <c r="B70" s="24" t="n">
        <v>0.07425</v>
      </c>
      <c r="C70" s="25" t="n">
        <v>201611.3</v>
      </c>
      <c r="D70" s="25" t="n">
        <v>1351051.9</v>
      </c>
      <c r="E70" s="25" t="n">
        <v>7422792.2</v>
      </c>
      <c r="F70" s="11" t="n">
        <v>14393.88</v>
      </c>
      <c r="G70" s="11" t="n">
        <v>149123.46</v>
      </c>
      <c r="H70" s="11" t="n">
        <v>1054024.84</v>
      </c>
    </row>
    <row r="71" customFormat="false" ht="14.25" hidden="false" customHeight="false" outlineLevel="0" collapsed="false">
      <c r="A71" s="23" t="n">
        <v>79</v>
      </c>
      <c r="B71" s="24" t="n">
        <v>0.08098</v>
      </c>
      <c r="C71" s="25" t="n">
        <v>179463.1</v>
      </c>
      <c r="D71" s="25" t="n">
        <v>1149440.6</v>
      </c>
      <c r="E71" s="25" t="n">
        <v>6071740.3</v>
      </c>
      <c r="F71" s="11" t="n">
        <v>13973.97</v>
      </c>
      <c r="G71" s="11" t="n">
        <v>134729.57</v>
      </c>
      <c r="H71" s="11" t="n">
        <v>904901.38</v>
      </c>
    </row>
    <row r="72" customFormat="false" ht="14.25" hidden="false" customHeight="false" outlineLevel="0" collapsed="false">
      <c r="A72" s="23" t="n">
        <v>80</v>
      </c>
      <c r="B72" s="24" t="n">
        <v>0.08824</v>
      </c>
      <c r="C72" s="25" t="n">
        <v>158586.8</v>
      </c>
      <c r="D72" s="25" t="n">
        <v>969977.5</v>
      </c>
      <c r="E72" s="25" t="n">
        <v>4922299.6</v>
      </c>
      <c r="F72" s="11" t="n">
        <v>13455.48</v>
      </c>
      <c r="G72" s="11" t="n">
        <v>120755.61</v>
      </c>
      <c r="H72" s="11" t="n">
        <v>770171.81</v>
      </c>
    </row>
    <row r="73" customFormat="false" ht="14.25" hidden="false" customHeight="false" outlineLevel="0" collapsed="false">
      <c r="A73" s="23" t="n">
        <v>81</v>
      </c>
      <c r="B73" s="24" t="n">
        <v>0.09609</v>
      </c>
      <c r="C73" s="25" t="n">
        <v>139031.8</v>
      </c>
      <c r="D73" s="25" t="n">
        <v>811390.7</v>
      </c>
      <c r="E73" s="25" t="n">
        <v>3952322.2</v>
      </c>
      <c r="F73" s="11" t="n">
        <v>12845.73</v>
      </c>
      <c r="G73" s="11" t="n">
        <v>107300.13</v>
      </c>
      <c r="H73" s="11" t="n">
        <v>649416.2</v>
      </c>
    </row>
    <row r="74" customFormat="false" ht="14.25" hidden="false" customHeight="false" outlineLevel="0" collapsed="false">
      <c r="A74" s="23" t="n">
        <v>82</v>
      </c>
      <c r="B74" s="24" t="n">
        <v>0.10458</v>
      </c>
      <c r="C74" s="25" t="n">
        <v>120838.7</v>
      </c>
      <c r="D74" s="25" t="n">
        <v>672358.9</v>
      </c>
      <c r="E74" s="25" t="n">
        <v>3140931.5</v>
      </c>
      <c r="F74" s="11" t="n">
        <v>12151.26</v>
      </c>
      <c r="G74" s="11" t="n">
        <v>94454.39</v>
      </c>
      <c r="H74" s="11" t="n">
        <v>542116.07</v>
      </c>
    </row>
    <row r="75" customFormat="false" ht="14.25" hidden="false" customHeight="false" outlineLevel="0" collapsed="false">
      <c r="A75" s="23" t="n">
        <v>83</v>
      </c>
      <c r="B75" s="24" t="n">
        <v>0.11367</v>
      </c>
      <c r="C75" s="25" t="n">
        <v>104039.8</v>
      </c>
      <c r="D75" s="25" t="n">
        <v>551520.2</v>
      </c>
      <c r="E75" s="25" t="n">
        <v>2468572.6</v>
      </c>
      <c r="F75" s="11" t="n">
        <v>11371.35</v>
      </c>
      <c r="G75" s="11" t="n">
        <v>82303.14</v>
      </c>
      <c r="H75" s="11" t="n">
        <v>447661.68</v>
      </c>
    </row>
    <row r="76" customFormat="false" ht="14.25" hidden="false" customHeight="false" outlineLevel="0" collapsed="false">
      <c r="A76" s="23" t="n">
        <v>84</v>
      </c>
      <c r="B76" s="24" t="n">
        <v>0.12338</v>
      </c>
      <c r="C76" s="25" t="n">
        <v>88666.9</v>
      </c>
      <c r="D76" s="25" t="n">
        <v>447480.5</v>
      </c>
      <c r="E76" s="25" t="n">
        <v>1917052.3</v>
      </c>
      <c r="F76" s="11" t="n">
        <v>10518.96</v>
      </c>
      <c r="G76" s="11" t="n">
        <v>70931.79</v>
      </c>
      <c r="H76" s="11" t="n">
        <v>365358.54</v>
      </c>
    </row>
    <row r="77" customFormat="false" ht="14.25" hidden="false" customHeight="false" outlineLevel="0" collapsed="false">
      <c r="A77" s="23" t="n">
        <v>85</v>
      </c>
      <c r="B77" s="24" t="n">
        <v>0.1337</v>
      </c>
      <c r="C77" s="25" t="n">
        <v>74737.7</v>
      </c>
      <c r="D77" s="25" t="n">
        <v>358813.6</v>
      </c>
      <c r="E77" s="25" t="n">
        <v>1469571.8</v>
      </c>
      <c r="F77" s="11" t="n">
        <v>9608.1</v>
      </c>
      <c r="G77" s="11" t="n">
        <v>60412.83</v>
      </c>
      <c r="H77" s="11" t="n">
        <v>294426.75</v>
      </c>
    </row>
    <row r="78" customFormat="false" ht="14.25" hidden="false" customHeight="false" outlineLevel="0" collapsed="false">
      <c r="A78" s="23" t="n">
        <v>86</v>
      </c>
      <c r="B78" s="24" t="n">
        <v>0.14466</v>
      </c>
      <c r="C78" s="25" t="n">
        <v>62255</v>
      </c>
      <c r="D78" s="25" t="n">
        <v>284075.9</v>
      </c>
      <c r="E78" s="25" t="n">
        <v>1110758.3</v>
      </c>
      <c r="F78" s="11" t="n">
        <v>8659.44</v>
      </c>
      <c r="G78" s="11" t="n">
        <v>50804.72</v>
      </c>
      <c r="H78" s="11" t="n">
        <v>234013.93</v>
      </c>
    </row>
    <row r="79" customFormat="false" ht="14.25" hidden="false" customHeight="false" outlineLevel="0" collapsed="false">
      <c r="A79" s="23" t="n">
        <v>87</v>
      </c>
      <c r="B79" s="24" t="n">
        <v>0.1563</v>
      </c>
      <c r="C79" s="25" t="n">
        <v>51201.2</v>
      </c>
      <c r="D79" s="25" t="n">
        <v>221820.9</v>
      </c>
      <c r="E79" s="25" t="n">
        <v>826682.4</v>
      </c>
      <c r="F79" s="11" t="n">
        <v>7694.95</v>
      </c>
      <c r="G79" s="11" t="n">
        <v>42145.29</v>
      </c>
      <c r="H79" s="11" t="n">
        <v>183209.21</v>
      </c>
    </row>
    <row r="80" customFormat="false" ht="14.25" hidden="false" customHeight="false" outlineLevel="0" collapsed="false">
      <c r="A80" s="23" t="n">
        <v>88</v>
      </c>
      <c r="B80" s="24" t="n">
        <v>0.1689</v>
      </c>
      <c r="C80" s="25" t="n">
        <v>41537</v>
      </c>
      <c r="D80" s="25" t="n">
        <v>170619.7</v>
      </c>
      <c r="E80" s="25" t="n">
        <v>604861.5</v>
      </c>
      <c r="F80" s="11" t="n">
        <v>6745.76</v>
      </c>
      <c r="G80" s="11" t="n">
        <v>34450.34</v>
      </c>
      <c r="H80" s="11" t="n">
        <v>141063.92</v>
      </c>
    </row>
    <row r="81" customFormat="false" ht="14.25" hidden="false" customHeight="false" outlineLevel="0" collapsed="false">
      <c r="A81" s="23" t="n">
        <v>89</v>
      </c>
      <c r="B81" s="24" t="n">
        <v>0.1823</v>
      </c>
      <c r="C81" s="25" t="n">
        <v>33193.6</v>
      </c>
      <c r="D81" s="25" t="n">
        <v>129082.7</v>
      </c>
      <c r="E81" s="25" t="n">
        <v>434241.8</v>
      </c>
      <c r="F81" s="11" t="n">
        <v>5818.46</v>
      </c>
      <c r="G81" s="11" t="n">
        <v>27704.58</v>
      </c>
      <c r="H81" s="11" t="n">
        <v>106613.58</v>
      </c>
    </row>
    <row r="82" customFormat="false" ht="14.25" hidden="false" customHeight="false" outlineLevel="0" collapsed="false">
      <c r="A82" s="23" t="n">
        <v>90</v>
      </c>
      <c r="B82" s="24" t="n">
        <v>0.19655</v>
      </c>
      <c r="C82" s="25" t="n">
        <v>26098.5</v>
      </c>
      <c r="D82" s="25" t="n">
        <v>95889.1</v>
      </c>
      <c r="E82" s="25" t="n">
        <v>305159.1</v>
      </c>
      <c r="F82" s="11" t="n">
        <v>4932.36</v>
      </c>
      <c r="G82" s="11" t="n">
        <v>21886.12</v>
      </c>
      <c r="H82" s="11" t="n">
        <v>78909</v>
      </c>
    </row>
    <row r="83" customFormat="false" ht="14.25" hidden="false" customHeight="false" outlineLevel="0" collapsed="false">
      <c r="A83" s="23" t="n">
        <v>91</v>
      </c>
      <c r="B83" s="24" t="n">
        <v>0.21187</v>
      </c>
      <c r="C83" s="25" t="n">
        <v>20162.3</v>
      </c>
      <c r="D83" s="25" t="n">
        <v>69790.6</v>
      </c>
      <c r="E83" s="25" t="n">
        <v>209270</v>
      </c>
      <c r="F83" s="11" t="n">
        <v>4107.49</v>
      </c>
      <c r="G83" s="11" t="n">
        <v>16953.76</v>
      </c>
      <c r="H83" s="11" t="n">
        <v>57022.88</v>
      </c>
    </row>
    <row r="84" customFormat="false" ht="14.25" hidden="false" customHeight="false" outlineLevel="0" collapsed="false">
      <c r="A84" s="23" t="n">
        <v>92</v>
      </c>
      <c r="B84" s="24" t="n">
        <v>0.22867</v>
      </c>
      <c r="C84" s="25" t="n">
        <v>15279.4</v>
      </c>
      <c r="D84" s="25" t="n">
        <v>49628.3</v>
      </c>
      <c r="E84" s="25" t="n">
        <v>139479.3</v>
      </c>
      <c r="F84" s="11" t="n">
        <v>3359.55</v>
      </c>
      <c r="G84" s="11" t="n">
        <v>12846.26</v>
      </c>
      <c r="H84" s="11" t="n">
        <v>40069.13</v>
      </c>
    </row>
    <row r="85" customFormat="false" ht="14.25" hidden="false" customHeight="false" outlineLevel="0" collapsed="false">
      <c r="A85" s="23" t="n">
        <v>93</v>
      </c>
      <c r="B85" s="24" t="n">
        <v>0.24732</v>
      </c>
      <c r="C85" s="25" t="n">
        <v>11332.1</v>
      </c>
      <c r="D85" s="25" t="n">
        <v>34348.9</v>
      </c>
      <c r="E85" s="25" t="n">
        <v>89851.1</v>
      </c>
      <c r="F85" s="11" t="n">
        <v>2694.87</v>
      </c>
      <c r="G85" s="11" t="n">
        <v>9486.71</v>
      </c>
      <c r="H85" s="11" t="n">
        <v>27222.86</v>
      </c>
    </row>
    <row r="86" customFormat="false" ht="14.25" hidden="false" customHeight="false" outlineLevel="0" collapsed="false">
      <c r="A86" s="23" t="n">
        <v>94</v>
      </c>
      <c r="B86" s="24" t="n">
        <v>0.26847</v>
      </c>
      <c r="C86" s="25" t="n">
        <v>8201.4</v>
      </c>
      <c r="D86" s="25" t="n">
        <v>23016.8</v>
      </c>
      <c r="E86" s="25" t="n">
        <v>55502.1</v>
      </c>
      <c r="F86" s="11" t="n">
        <v>2117.15</v>
      </c>
      <c r="G86" s="11" t="n">
        <v>6791.84</v>
      </c>
      <c r="H86" s="11" t="n">
        <v>17736.15</v>
      </c>
    </row>
    <row r="87" customFormat="false" ht="14.25" hidden="false" customHeight="false" outlineLevel="0" collapsed="false">
      <c r="A87" s="23" t="n">
        <v>95</v>
      </c>
      <c r="B87" s="24" t="n">
        <v>0.29242</v>
      </c>
      <c r="C87" s="25" t="n">
        <v>5768.8</v>
      </c>
      <c r="D87" s="25" t="n">
        <v>14815.4</v>
      </c>
      <c r="E87" s="25" t="n">
        <v>32485.3</v>
      </c>
      <c r="F87" s="11" t="n">
        <v>1622.04</v>
      </c>
      <c r="G87" s="11" t="n">
        <v>4674.69</v>
      </c>
      <c r="H87" s="11" t="n">
        <v>10944.31</v>
      </c>
    </row>
    <row r="88" customFormat="false" ht="14.25" hidden="false" customHeight="false" outlineLevel="0" collapsed="false">
      <c r="A88" s="23" t="n">
        <v>96</v>
      </c>
      <c r="B88" s="24" t="n">
        <v>0.31947</v>
      </c>
      <c r="C88" s="25" t="n">
        <v>3924.9</v>
      </c>
      <c r="D88" s="25" t="n">
        <v>9046.5</v>
      </c>
      <c r="E88" s="25" t="n">
        <v>17670</v>
      </c>
      <c r="F88" s="11" t="n">
        <v>1205.67</v>
      </c>
      <c r="G88" s="11" t="n">
        <v>3052.65</v>
      </c>
      <c r="H88" s="11" t="n">
        <v>6269.62</v>
      </c>
    </row>
    <row r="89" customFormat="false" ht="14.25" hidden="false" customHeight="false" outlineLevel="0" collapsed="false">
      <c r="A89" s="23" t="n">
        <v>97</v>
      </c>
      <c r="B89" s="24" t="n">
        <v>0.35017</v>
      </c>
      <c r="C89" s="25" t="n">
        <v>2568.3</v>
      </c>
      <c r="D89" s="25" t="n">
        <v>5121.6</v>
      </c>
      <c r="E89" s="25" t="n">
        <v>8623.5</v>
      </c>
      <c r="F89" s="11" t="n">
        <v>864.75</v>
      </c>
      <c r="G89" s="11" t="n">
        <v>1846.98</v>
      </c>
      <c r="H89" s="11" t="n">
        <v>3216.97</v>
      </c>
    </row>
    <row r="90" customFormat="false" ht="14.25" hidden="false" customHeight="false" outlineLevel="0" collapsed="false">
      <c r="A90" s="23" t="n">
        <v>98</v>
      </c>
      <c r="B90" s="24" t="n">
        <v>0.38527</v>
      </c>
      <c r="C90" s="25" t="n">
        <v>1604.8</v>
      </c>
      <c r="D90" s="25" t="n">
        <v>2553.3</v>
      </c>
      <c r="E90" s="25" t="n">
        <v>3501.9</v>
      </c>
      <c r="F90" s="11" t="n">
        <v>594.49</v>
      </c>
      <c r="G90" s="11" t="n">
        <v>982.24</v>
      </c>
      <c r="H90" s="11" t="n">
        <v>1369.98</v>
      </c>
    </row>
    <row r="91" customFormat="false" ht="14.25" hidden="false" customHeight="false" outlineLevel="0" collapsed="false">
      <c r="A91" s="23" t="n">
        <v>99</v>
      </c>
      <c r="B91" s="24" t="n">
        <v>0.42513</v>
      </c>
      <c r="C91" s="25" t="n">
        <v>948.6</v>
      </c>
      <c r="D91" s="25" t="n">
        <v>948.6</v>
      </c>
      <c r="E91" s="25" t="n">
        <v>948.6</v>
      </c>
      <c r="F91" s="11" t="n">
        <v>387.75</v>
      </c>
      <c r="G91" s="11" t="n">
        <v>387.75</v>
      </c>
      <c r="H91" s="11" t="n">
        <v>387.75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Y110"/>
  <sheetViews>
    <sheetView showFormulas="false" showGridLines="true" showRowColHeaders="true" showZeros="true" rightToLeft="false" tabSelected="true" showOutlineSymbols="true" defaultGridColor="true" view="normal" topLeftCell="G1" colorId="64" zoomScale="74" zoomScaleNormal="74" zoomScalePageLayoutView="100" workbookViewId="0">
      <pane xSplit="0" ySplit="1" topLeftCell="A10" activePane="bottomLeft" state="frozen"/>
      <selection pane="topLeft" activeCell="G1" activeCellId="0" sqref="G1"/>
      <selection pane="bottomLeft" activeCell="K103" activeCellId="0" sqref="K103"/>
    </sheetView>
  </sheetViews>
  <sheetFormatPr defaultColWidth="8.88671875" defaultRowHeight="14.25" customHeight="true" zeroHeight="false" outlineLevelRow="0" outlineLevelCol="0"/>
  <cols>
    <col collapsed="false" customWidth="false" hidden="false" outlineLevel="0" max="1" min="1" style="26" width="8.88"/>
    <col collapsed="false" customWidth="true" hidden="false" outlineLevel="0" max="2" min="2" style="26" width="31.11"/>
    <col collapsed="false" customWidth="false" hidden="false" outlineLevel="0" max="3" min="3" style="26" width="8.88"/>
    <col collapsed="false" customWidth="true" hidden="false" outlineLevel="0" max="4" min="4" style="26" width="15.11"/>
    <col collapsed="false" customWidth="false" hidden="false" outlineLevel="0" max="5" min="5" style="26" width="8.88"/>
    <col collapsed="false" customWidth="true" hidden="false" outlineLevel="0" max="6" min="6" style="26" width="15.11"/>
    <col collapsed="false" customWidth="true" hidden="false" outlineLevel="0" max="7" min="7" style="26" width="14.67"/>
    <col collapsed="false" customWidth="true" hidden="false" outlineLevel="0" max="8" min="8" style="26" width="12.22"/>
    <col collapsed="false" customWidth="true" hidden="false" outlineLevel="0" max="9" min="9" style="26" width="15.22"/>
    <col collapsed="false" customWidth="true" hidden="false" outlineLevel="0" max="10" min="10" style="26" width="13.22"/>
    <col collapsed="false" customWidth="true" hidden="false" outlineLevel="0" max="11" min="11" style="26" width="21.77"/>
    <col collapsed="false" customWidth="true" hidden="false" outlineLevel="0" max="12" min="12" style="26" width="25.67"/>
    <col collapsed="false" customWidth="true" hidden="false" outlineLevel="0" max="13" min="13" style="26" width="17.44"/>
    <col collapsed="false" customWidth="true" hidden="false" outlineLevel="0" max="14" min="14" style="26" width="25.44"/>
    <col collapsed="false" customWidth="true" hidden="false" outlineLevel="0" max="15" min="15" style="26" width="12.77"/>
    <col collapsed="false" customWidth="true" hidden="false" outlineLevel="0" max="16" min="16" style="26" width="24.56"/>
    <col collapsed="false" customWidth="true" hidden="false" outlineLevel="0" max="17" min="17" style="26" width="25.44"/>
    <col collapsed="false" customWidth="false" hidden="false" outlineLevel="0" max="20" min="18" style="26" width="8.88"/>
    <col collapsed="false" customWidth="true" hidden="false" outlineLevel="0" max="21" min="21" style="26" width="12.67"/>
    <col collapsed="false" customWidth="false" hidden="false" outlineLevel="0" max="23" min="22" style="26" width="8.88"/>
    <col collapsed="false" customWidth="true" hidden="false" outlineLevel="0" max="24" min="24" style="26" width="15.33"/>
    <col collapsed="false" customWidth="true" hidden="false" outlineLevel="0" max="25" min="25" style="26" width="19.21"/>
    <col collapsed="false" customWidth="false" hidden="false" outlineLevel="0" max="16384" min="26" style="26" width="8.88"/>
  </cols>
  <sheetData>
    <row r="1" customFormat="false" ht="15" hidden="false" customHeight="true" outlineLevel="0" collapsed="false">
      <c r="A1" s="27" t="s">
        <v>61</v>
      </c>
      <c r="B1" s="28" t="s">
        <v>62</v>
      </c>
      <c r="C1" s="28" t="s">
        <v>63</v>
      </c>
      <c r="D1" s="28" t="s">
        <v>64</v>
      </c>
      <c r="E1" s="28" t="s">
        <v>65</v>
      </c>
      <c r="F1" s="28" t="s">
        <v>66</v>
      </c>
      <c r="G1" s="28" t="s">
        <v>67</v>
      </c>
      <c r="H1" s="28" t="s">
        <v>68</v>
      </c>
      <c r="I1" s="28" t="s">
        <v>69</v>
      </c>
      <c r="J1" s="28" t="s">
        <v>70</v>
      </c>
      <c r="K1" s="28" t="s">
        <v>71</v>
      </c>
      <c r="L1" s="28" t="s">
        <v>202</v>
      </c>
      <c r="M1" s="28" t="s">
        <v>203</v>
      </c>
      <c r="N1" s="28" t="s">
        <v>204</v>
      </c>
      <c r="O1" s="28" t="s">
        <v>205</v>
      </c>
      <c r="P1" s="29" t="s">
        <v>206</v>
      </c>
      <c r="Q1" s="28" t="s">
        <v>207</v>
      </c>
      <c r="R1" s="29" t="s">
        <v>208</v>
      </c>
      <c r="S1" s="29" t="s">
        <v>209</v>
      </c>
      <c r="T1" s="29" t="s">
        <v>210</v>
      </c>
      <c r="U1" s="29" t="s">
        <v>211</v>
      </c>
      <c r="V1" s="29" t="s">
        <v>212</v>
      </c>
      <c r="W1" s="29" t="s">
        <v>213</v>
      </c>
      <c r="X1" s="29" t="s">
        <v>214</v>
      </c>
      <c r="Y1" s="30" t="s">
        <v>34</v>
      </c>
    </row>
    <row r="2" customFormat="false" ht="14.25" hidden="false" customHeight="false" outlineLevel="0" collapsed="false">
      <c r="A2" s="31" t="n">
        <v>1</v>
      </c>
      <c r="B2" s="31" t="s">
        <v>118</v>
      </c>
      <c r="C2" s="31" t="s">
        <v>215</v>
      </c>
      <c r="D2" s="31" t="n">
        <v>44</v>
      </c>
      <c r="E2" s="31" t="s">
        <v>38</v>
      </c>
      <c r="F2" s="31" t="n">
        <v>20</v>
      </c>
      <c r="G2" s="31" t="n">
        <v>60000</v>
      </c>
      <c r="H2" s="31" t="n">
        <v>10</v>
      </c>
      <c r="I2" s="31" t="s">
        <v>216</v>
      </c>
      <c r="J2" s="31" t="n">
        <v>0</v>
      </c>
      <c r="K2" s="31" t="n">
        <v>4</v>
      </c>
      <c r="L2" s="31" t="n">
        <f aca="false">IF(C2="F",D2-3,D2)</f>
        <v>41</v>
      </c>
      <c r="M2" s="31" t="n">
        <f aca="false">(_xlfn.XLOOKUP(L2,'DGI TABLE'!$A$2:$A$91,'DGI TABLE'!$G$2:$G$91)-_xlfn.XLOOKUP(L2+F2,'DGI TABLE'!$A$2:$A$91,'DGI TABLE'!$G$2:$G$91)+_xlfn.XLOOKUP(L2+F2,'DGI TABLE'!$A$2:$A$91,'DGI TABLE'!$C$2:$C$91))/_xlfn.XLOOKUP(L2,'DGI TABLE'!$A$2:$A$91,'DGI TABLE'!$C$2:$C$91)</f>
        <v>0.479039998636044</v>
      </c>
      <c r="N2" s="31" t="n">
        <f aca="false">(_xlfn.XLOOKUP(L2,'DGI TABLE'!$A$2:$A$91,'DGI TABLE'!$D$2:$D$91)-_xlfn.XLOOKUP(L2+H2,'DGI TABLE'!$A$2:$A$91,'DGI TABLE'!$D$2:$D$91))/_xlfn.XLOOKUP(L2,'DGI TABLE'!$A$2:$A$91,'DGI TABLE'!$C$2:$C$91)</f>
        <v>8.30418366934156</v>
      </c>
      <c r="O2" s="31" t="n">
        <f aca="false">M2/N2</f>
        <v>0.0576865851853235</v>
      </c>
      <c r="P2" s="31" t="n">
        <f aca="false">(_xlfn.XLOOKUP(L2+1,'DGI TABLE'!$A$2:$A$91,'DGI TABLE'!$G$2:$G$91)-_xlfn.XLOOKUP(L2+F2,'DGI TABLE'!$A$2:$A$91,'DGI TABLE'!$G$2:$G$91))/_xlfn.XLOOKUP(L2+1,'DGI TABLE'!$A$2:$A$91,'DGI TABLE'!$C$2:$C$91)</f>
        <v>0.0888755622867875</v>
      </c>
      <c r="Q2" s="31" t="n">
        <f aca="false">(_xlfn.XLOOKUP(L2+1,'DGI TABLE'!$A$2:$A$91,'DGI TABLE'!$D$2:$D$91)-_xlfn.XLOOKUP(L2+H2,'DGI TABLE'!$A$2:$A$91,'DGI TABLE'!$D$2:$D$91))/_xlfn.XLOOKUP(L2+1,'DGI TABLE'!$A$2:$A$91,'DGI TABLE'!$C$2:$C$91)</f>
        <v>7.61867399922493</v>
      </c>
      <c r="R2" s="31" t="n">
        <f aca="false">_xlfn.XLOOKUP(L2,'DGI TABLE'!$A$2:$A$91,'DGI TABLE'!$F$2:$F$91)/_xlfn.XLOOKUP(L2,'DGI TABLE'!$A$2:$A$91,'DGI TABLE'!$C$2:$C$91)</f>
        <v>0.00281730978377702</v>
      </c>
      <c r="S2" s="31" t="n">
        <f aca="false">P2/Q2</f>
        <v>0.0116654895977737</v>
      </c>
      <c r="T2" s="31" t="n">
        <f aca="false">O2+0.03/N2</f>
        <v>0.0612992220433879</v>
      </c>
      <c r="U2" s="31" t="n">
        <f aca="false">MIN(S2,T2)</f>
        <v>0.0116654895977737</v>
      </c>
      <c r="V2" s="31" t="n">
        <f aca="false">(_xlfn.XLOOKUP(L2+K2,'DGI TABLE'!$A$2:$A$91,'DGI TABLE'!$G$2:$G$91)-_xlfn.XLOOKUP(L2+F2,'DGI TABLE'!$A$2:$A$91,'DGI TABLE'!$G$2:$G$91))/_xlfn.XLOOKUP(L2+K2,'DGI TABLE'!$A$2:$A$91,'DGI TABLE'!$C$2:$C$91)</f>
        <v>0.0900431889399348</v>
      </c>
      <c r="W2" s="31" t="n">
        <f aca="false">(_xlfn.XLOOKUP(L2+K2,'DGI TABLE'!$A$2:$A$91,'DGI TABLE'!$D$2:$D$91)-_xlfn.XLOOKUP(L2+H2,'DGI TABLE'!$A$2:$A$91,'DGI TABLE'!$D$2:$D$91))/_xlfn.XLOOKUP(L2+K2,'DGI TABLE'!$A$2:$A$91,'DGI TABLE'!$C$2:$C$91)</f>
        <v>5.390348735999</v>
      </c>
      <c r="X2" s="31" t="n">
        <f aca="false">G2*(V2-(U2*W2))</f>
        <v>1629.72790990594</v>
      </c>
      <c r="Y2" s="32" t="n">
        <f aca="false">AVERAGE(X2:X44)</f>
        <v>3707.87593405121</v>
      </c>
    </row>
    <row r="3" customFormat="false" ht="14.25" hidden="false" customHeight="false" outlineLevel="0" collapsed="false">
      <c r="A3" s="33" t="n">
        <v>2</v>
      </c>
      <c r="B3" s="33" t="s">
        <v>109</v>
      </c>
      <c r="C3" s="33" t="s">
        <v>217</v>
      </c>
      <c r="D3" s="33" t="n">
        <v>35</v>
      </c>
      <c r="E3" s="33" t="s">
        <v>38</v>
      </c>
      <c r="F3" s="33" t="n">
        <v>10</v>
      </c>
      <c r="G3" s="33" t="n">
        <v>180000</v>
      </c>
      <c r="H3" s="33" t="n">
        <v>5</v>
      </c>
      <c r="I3" s="33" t="s">
        <v>216</v>
      </c>
      <c r="J3" s="33" t="n">
        <v>0</v>
      </c>
      <c r="K3" s="33" t="n">
        <v>3</v>
      </c>
      <c r="L3" s="33" t="n">
        <f aca="false">IF(C3="F",D3-3,D3)</f>
        <v>35</v>
      </c>
      <c r="M3" s="33" t="n">
        <f aca="false">(_xlfn.XLOOKUP(L3,'DGI TABLE'!$A$2:$A$91,'DGI TABLE'!$G$2:$G$91)-_xlfn.XLOOKUP(L3+F3,'DGI TABLE'!$A$2:$A$91,'DGI TABLE'!$G$2:$G$91)+_xlfn.XLOOKUP(L3+F3,'DGI TABLE'!$A$2:$A$91,'DGI TABLE'!$C$2:$C$91))/_xlfn.XLOOKUP(L3,'DGI TABLE'!$A$2:$A$91,'DGI TABLE'!$C$2:$C$91)</f>
        <v>0.678765691908739</v>
      </c>
      <c r="N3" s="33" t="n">
        <f aca="false">(_xlfn.XLOOKUP(L3,'DGI TABLE'!$A$2:$A$91,'DGI TABLE'!$D$2:$D$91)-_xlfn.XLOOKUP(L3+H3,'DGI TABLE'!$A$2:$A$91,'DGI TABLE'!$D$2:$D$91))/_xlfn.XLOOKUP(L3,'DGI TABLE'!$A$2:$A$91,'DGI TABLE'!$C$2:$C$91)</f>
        <v>4.61090952737229</v>
      </c>
      <c r="O3" s="33" t="n">
        <f aca="false">M3/N3</f>
        <v>0.147208633758546</v>
      </c>
      <c r="P3" s="33" t="n">
        <f aca="false">(_xlfn.XLOOKUP(L3+1,'DGI TABLE'!$A$2:$A$91,'DGI TABLE'!$G$2:$G$91)-_xlfn.XLOOKUP(L3+F3,'DGI TABLE'!$A$2:$A$91,'DGI TABLE'!$G$2:$G$91))/_xlfn.XLOOKUP(L3+1,'DGI TABLE'!$A$2:$A$91,'DGI TABLE'!$C$2:$C$91)</f>
        <v>0.0204426307130132</v>
      </c>
      <c r="Q3" s="33" t="n">
        <f aca="false">(_xlfn.XLOOKUP(L3+1,'DGI TABLE'!$A$2:$A$91,'DGI TABLE'!$D$2:$D$91)-_xlfn.XLOOKUP(L3+H3,'DGI TABLE'!$A$2:$A$91,'DGI TABLE'!$D$2:$D$91))/_xlfn.XLOOKUP(L3+1,'DGI TABLE'!$A$2:$A$91,'DGI TABLE'!$C$2:$C$91)</f>
        <v>3.76294703714647</v>
      </c>
      <c r="R3" s="33" t="n">
        <f aca="false">_xlfn.XLOOKUP(L3,'DGI TABLE'!$A$2:$A$91,'DGI TABLE'!$F$2:$F$91)/_xlfn.XLOOKUP(L3,'DGI TABLE'!$A$2:$A$91,'DGI TABLE'!$C$2:$C$91)</f>
        <v>0.00194230623469409</v>
      </c>
      <c r="S3" s="33" t="n">
        <f aca="false">P3/Q3</f>
        <v>0.00543261186277958</v>
      </c>
      <c r="T3" s="33" t="n">
        <f aca="false">O3+0.03/N3</f>
        <v>0.153714942290932</v>
      </c>
      <c r="U3" s="33" t="n">
        <f aca="false">MIN(S3,T3)</f>
        <v>0.00543261186277958</v>
      </c>
      <c r="V3" s="33" t="n">
        <f aca="false">(_xlfn.XLOOKUP(L3+K3,'DGI TABLE'!$A$2:$A$91,'DGI TABLE'!$G$2:$G$91)-_xlfn.XLOOKUP(L3+F3,'DGI TABLE'!$A$2:$A$91,'DGI TABLE'!$G$2:$G$91))/_xlfn.XLOOKUP(L3+K3,'DGI TABLE'!$A$2:$A$91,'DGI TABLE'!$C$2:$C$91)</f>
        <v>0.0177078148309252</v>
      </c>
      <c r="W3" s="33" t="n">
        <f aca="false">(_xlfn.XLOOKUP(L3+K3,'DGI TABLE'!$A$2:$A$91,'DGI TABLE'!$D$2:$D$91)-_xlfn.XLOOKUP(L3+H3,'DGI TABLE'!$A$2:$A$91,'DGI TABLE'!$D$2:$D$91))/_xlfn.XLOOKUP(L3+K3,'DGI TABLE'!$A$2:$A$91,'DGI TABLE'!$C$2:$C$91)</f>
        <v>1.95924043227592</v>
      </c>
      <c r="X3" s="33" t="n">
        <f aca="false">G3*(V3-(U3*W3))</f>
        <v>1271.52396297101</v>
      </c>
      <c r="Y3" s="32"/>
    </row>
    <row r="4" customFormat="false" ht="14.25" hidden="false" customHeight="false" outlineLevel="0" collapsed="false">
      <c r="A4" s="33" t="n">
        <v>3</v>
      </c>
      <c r="B4" s="33" t="s">
        <v>128</v>
      </c>
      <c r="C4" s="33" t="s">
        <v>215</v>
      </c>
      <c r="D4" s="33" t="n">
        <v>30</v>
      </c>
      <c r="E4" s="33" t="s">
        <v>38</v>
      </c>
      <c r="F4" s="33" t="n">
        <v>10</v>
      </c>
      <c r="G4" s="33" t="n">
        <v>150000</v>
      </c>
      <c r="H4" s="33" t="n">
        <v>5</v>
      </c>
      <c r="I4" s="33" t="s">
        <v>216</v>
      </c>
      <c r="J4" s="33" t="n">
        <v>0</v>
      </c>
      <c r="K4" s="33" t="n">
        <v>2</v>
      </c>
      <c r="L4" s="33" t="n">
        <f aca="false">IF(C4="F",D4-3,D4)</f>
        <v>27</v>
      </c>
      <c r="M4" s="33" t="n">
        <f aca="false">(_xlfn.XLOOKUP(L4,'DGI TABLE'!$A$2:$A$91,'DGI TABLE'!$G$2:$G$91)-_xlfn.XLOOKUP(L4+F4,'DGI TABLE'!$A$2:$A$91,'DGI TABLE'!$G$2:$G$91)+_xlfn.XLOOKUP(L4+F4,'DGI TABLE'!$A$2:$A$91,'DGI TABLE'!$C$2:$C$91))/_xlfn.XLOOKUP(L4,'DGI TABLE'!$A$2:$A$91,'DGI TABLE'!$C$2:$C$91)</f>
        <v>0.678056063909495</v>
      </c>
      <c r="N4" s="33" t="n">
        <f aca="false">(_xlfn.XLOOKUP(L4,'DGI TABLE'!$A$2:$A$91,'DGI TABLE'!$D$2:$D$91)-_xlfn.XLOOKUP(L4+H4,'DGI TABLE'!$A$2:$A$91,'DGI TABLE'!$D$2:$D$91))/_xlfn.XLOOKUP(L4,'DGI TABLE'!$A$2:$A$91,'DGI TABLE'!$C$2:$C$91)</f>
        <v>4.61327083181763</v>
      </c>
      <c r="O4" s="33" t="n">
        <f aca="false">M4/N4</f>
        <v>0.146979461780773</v>
      </c>
      <c r="P4" s="33" t="n">
        <f aca="false">(_xlfn.XLOOKUP(L4+1,'DGI TABLE'!$A$2:$A$91,'DGI TABLE'!$G$2:$G$91)-_xlfn.XLOOKUP(L4+F4,'DGI TABLE'!$A$2:$A$91,'DGI TABLE'!$G$2:$G$91))/_xlfn.XLOOKUP(L4+1,'DGI TABLE'!$A$2:$A$91,'DGI TABLE'!$C$2:$C$91)</f>
        <v>0.0138578268937724</v>
      </c>
      <c r="Q4" s="33" t="n">
        <f aca="false">(_xlfn.XLOOKUP(L4+1,'DGI TABLE'!$A$2:$A$91,'DGI TABLE'!$D$2:$D$91)-_xlfn.XLOOKUP(L4+H4,'DGI TABLE'!$A$2:$A$91,'DGI TABLE'!$D$2:$D$91))/_xlfn.XLOOKUP(L4+1,'DGI TABLE'!$A$2:$A$91,'DGI TABLE'!$C$2:$C$91)</f>
        <v>3.76503047037083</v>
      </c>
      <c r="R4" s="33" t="n">
        <f aca="false">_xlfn.XLOOKUP(L4,'DGI TABLE'!$A$2:$A$91,'DGI TABLE'!$F$2:$F$91)/_xlfn.XLOOKUP(L4,'DGI TABLE'!$A$2:$A$91,'DGI TABLE'!$C$2:$C$91)</f>
        <v>0.0018461548790625</v>
      </c>
      <c r="S4" s="33" t="n">
        <f aca="false">P4/Q4</f>
        <v>0.00368066792628308</v>
      </c>
      <c r="T4" s="33" t="n">
        <f aca="false">O4+0.03/N4</f>
        <v>0.15348244005664</v>
      </c>
      <c r="U4" s="33" t="n">
        <f aca="false">MIN(S4,T4)</f>
        <v>0.00368066792628308</v>
      </c>
      <c r="V4" s="33" t="n">
        <f aca="false">(_xlfn.XLOOKUP(L4+K4,'DGI TABLE'!$A$2:$A$91,'DGI TABLE'!$G$2:$G$91)-_xlfn.XLOOKUP(L4+F4,'DGI TABLE'!$A$2:$A$91,'DGI TABLE'!$G$2:$G$91))/_xlfn.XLOOKUP(L4+K4,'DGI TABLE'!$A$2:$A$91,'DGI TABLE'!$C$2:$C$91)</f>
        <v>0.0125656369110305</v>
      </c>
      <c r="W4" s="33" t="n">
        <f aca="false">(_xlfn.XLOOKUP(L4+K4,'DGI TABLE'!$A$2:$A$91,'DGI TABLE'!$D$2:$D$91)-_xlfn.XLOOKUP(L4+H4,'DGI TABLE'!$A$2:$A$91,'DGI TABLE'!$D$2:$D$91))/_xlfn.XLOOKUP(L4+K4,'DGI TABLE'!$A$2:$A$91,'DGI TABLE'!$C$2:$C$91)</f>
        <v>2.8810192991653</v>
      </c>
      <c r="X4" s="33" t="n">
        <f aca="false">G4*(V4-(U4*W4))</f>
        <v>294.234237238528</v>
      </c>
      <c r="Y4" s="32"/>
    </row>
    <row r="5" customFormat="false" ht="14.25" hidden="false" customHeight="false" outlineLevel="0" collapsed="false">
      <c r="A5" s="33" t="n">
        <v>4</v>
      </c>
      <c r="B5" s="33" t="s">
        <v>121</v>
      </c>
      <c r="C5" s="33" t="s">
        <v>217</v>
      </c>
      <c r="D5" s="33" t="n">
        <v>49</v>
      </c>
      <c r="E5" s="33" t="s">
        <v>38</v>
      </c>
      <c r="F5" s="33" t="n">
        <v>10</v>
      </c>
      <c r="G5" s="33" t="n">
        <v>125000</v>
      </c>
      <c r="H5" s="33" t="n">
        <v>3</v>
      </c>
      <c r="I5" s="33" t="s">
        <v>216</v>
      </c>
      <c r="J5" s="33" t="n">
        <v>0</v>
      </c>
      <c r="K5" s="33" t="n">
        <v>2</v>
      </c>
      <c r="L5" s="33" t="n">
        <f aca="false">IF(C5="F",D5-3,D5)</f>
        <v>49</v>
      </c>
      <c r="M5" s="33" t="n">
        <f aca="false">(_xlfn.XLOOKUP(L5,'DGI TABLE'!$A$2:$A$91,'DGI TABLE'!$G$2:$G$91)-_xlfn.XLOOKUP(L5+F5,'DGI TABLE'!$A$2:$A$91,'DGI TABLE'!$G$2:$G$91)+_xlfn.XLOOKUP(L5+F5,'DGI TABLE'!$A$2:$A$91,'DGI TABLE'!$C$2:$C$91))/_xlfn.XLOOKUP(L5,'DGI TABLE'!$A$2:$A$91,'DGI TABLE'!$C$2:$C$91)</f>
        <v>0.685831178446635</v>
      </c>
      <c r="N5" s="33" t="n">
        <f aca="false">(_xlfn.XLOOKUP(L5,'DGI TABLE'!$A$2:$A$91,'DGI TABLE'!$D$2:$D$91)-_xlfn.XLOOKUP(L5+H5,'DGI TABLE'!$A$2:$A$91,'DGI TABLE'!$D$2:$D$91))/_xlfn.XLOOKUP(L5,'DGI TABLE'!$A$2:$A$91,'DGI TABLE'!$C$2:$C$91)</f>
        <v>2.8686562141276</v>
      </c>
      <c r="O5" s="33" t="n">
        <f aca="false">M5/N5</f>
        <v>0.239077507813255</v>
      </c>
      <c r="P5" s="33" t="n">
        <f aca="false">(_xlfn.XLOOKUP(L5+1,'DGI TABLE'!$A$2:$A$91,'DGI TABLE'!$G$2:$G$91)-_xlfn.XLOOKUP(L5+F5,'DGI TABLE'!$A$2:$A$91,'DGI TABLE'!$G$2:$G$91))/_xlfn.XLOOKUP(L5+1,'DGI TABLE'!$A$2:$A$91,'DGI TABLE'!$C$2:$C$91)</f>
        <v>0.067394531136143</v>
      </c>
      <c r="Q5" s="33" t="n">
        <f aca="false">(_xlfn.XLOOKUP(L5+1,'DGI TABLE'!$A$2:$A$91,'DGI TABLE'!$D$2:$D$91)-_xlfn.XLOOKUP(L5+H5,'DGI TABLE'!$A$2:$A$91,'DGI TABLE'!$D$2:$D$91))/_xlfn.XLOOKUP(L5+1,'DGI TABLE'!$A$2:$A$91,'DGI TABLE'!$C$2:$C$91)</f>
        <v>1.95519240249965</v>
      </c>
      <c r="R5" s="33" t="n">
        <f aca="false">_xlfn.XLOOKUP(L5,'DGI TABLE'!$A$2:$A$91,'DGI TABLE'!$F$2:$F$91)/_xlfn.XLOOKUP(L5,'DGI TABLE'!$A$2:$A$91,'DGI TABLE'!$C$2:$C$91)</f>
        <v>0.00579807615190242</v>
      </c>
      <c r="S5" s="33" t="n">
        <f aca="false">P5/Q5</f>
        <v>0.0344695136140981</v>
      </c>
      <c r="T5" s="33" t="n">
        <f aca="false">O5+0.03/N5</f>
        <v>0.249535366043968</v>
      </c>
      <c r="U5" s="33" t="n">
        <f aca="false">MIN(S5,T5)</f>
        <v>0.0344695136140981</v>
      </c>
      <c r="V5" s="33" t="n">
        <f aca="false">(_xlfn.XLOOKUP(L5+K5,'DGI TABLE'!$A$2:$A$91,'DGI TABLE'!$G$2:$G$91)-_xlfn.XLOOKUP(L5+F5,'DGI TABLE'!$A$2:$A$91,'DGI TABLE'!$G$2:$G$91))/_xlfn.XLOOKUP(L5+K5,'DGI TABLE'!$A$2:$A$91,'DGI TABLE'!$C$2:$C$91)</f>
        <v>0.0639121321751319</v>
      </c>
      <c r="W5" s="33" t="n">
        <f aca="false">(_xlfn.XLOOKUP(L5+K5,'DGI TABLE'!$A$2:$A$91,'DGI TABLE'!$D$2:$D$91)-_xlfn.XLOOKUP(L5+H5,'DGI TABLE'!$A$2:$A$91,'DGI TABLE'!$D$2:$D$91))/_xlfn.XLOOKUP(L5+K5,'DGI TABLE'!$A$2:$A$91,'DGI TABLE'!$C$2:$C$91)</f>
        <v>1.00000008202869</v>
      </c>
      <c r="X5" s="33" t="n">
        <f aca="false">G5*(V5-(U5*W5))</f>
        <v>3680.32696669307</v>
      </c>
      <c r="Y5" s="32"/>
    </row>
    <row r="6" customFormat="false" ht="14.25" hidden="false" customHeight="false" outlineLevel="0" collapsed="false">
      <c r="A6" s="33" t="n">
        <v>5</v>
      </c>
      <c r="B6" s="33" t="s">
        <v>142</v>
      </c>
      <c r="C6" s="33" t="s">
        <v>215</v>
      </c>
      <c r="D6" s="33" t="n">
        <v>38</v>
      </c>
      <c r="E6" s="33" t="s">
        <v>38</v>
      </c>
      <c r="F6" s="33" t="n">
        <v>20</v>
      </c>
      <c r="G6" s="33" t="n">
        <v>60000</v>
      </c>
      <c r="H6" s="33" t="n">
        <v>5</v>
      </c>
      <c r="I6" s="33" t="s">
        <v>216</v>
      </c>
      <c r="J6" s="33" t="n">
        <v>0</v>
      </c>
      <c r="K6" s="33" t="n">
        <v>3</v>
      </c>
      <c r="L6" s="33" t="n">
        <f aca="false">IF(C6="F",D6-3,D6)</f>
        <v>35</v>
      </c>
      <c r="M6" s="33" t="n">
        <f aca="false">(_xlfn.XLOOKUP(L6,'DGI TABLE'!$A$2:$A$91,'DGI TABLE'!$G$2:$G$91)-_xlfn.XLOOKUP(L6+F6,'DGI TABLE'!$A$2:$A$91,'DGI TABLE'!$G$2:$G$91)+_xlfn.XLOOKUP(L6+F6,'DGI TABLE'!$A$2:$A$91,'DGI TABLE'!$C$2:$C$91))/_xlfn.XLOOKUP(L6,'DGI TABLE'!$A$2:$A$91,'DGI TABLE'!$C$2:$C$91)</f>
        <v>0.470287863944654</v>
      </c>
      <c r="N6" s="33" t="n">
        <f aca="false">(_xlfn.XLOOKUP(L6,'DGI TABLE'!$A$2:$A$91,'DGI TABLE'!$D$2:$D$91)-_xlfn.XLOOKUP(L6+H6,'DGI TABLE'!$A$2:$A$91,'DGI TABLE'!$D$2:$D$91))/_xlfn.XLOOKUP(L6,'DGI TABLE'!$A$2:$A$91,'DGI TABLE'!$C$2:$C$91)</f>
        <v>4.61090952737229</v>
      </c>
      <c r="O6" s="33" t="n">
        <f aca="false">M6/N6</f>
        <v>0.101994598062016</v>
      </c>
      <c r="P6" s="33" t="n">
        <f aca="false">(_xlfn.XLOOKUP(L6+1,'DGI TABLE'!$A$2:$A$91,'DGI TABLE'!$G$2:$G$91)-_xlfn.XLOOKUP(L6+F6,'DGI TABLE'!$A$2:$A$91,'DGI TABLE'!$G$2:$G$91))/_xlfn.XLOOKUP(L6+1,'DGI TABLE'!$A$2:$A$91,'DGI TABLE'!$C$2:$C$91)</f>
        <v>0.0546976545115377</v>
      </c>
      <c r="Q6" s="33" t="n">
        <f aca="false">(_xlfn.XLOOKUP(L6+1,'DGI TABLE'!$A$2:$A$91,'DGI TABLE'!$D$2:$D$91)-_xlfn.XLOOKUP(L6+H6,'DGI TABLE'!$A$2:$A$91,'DGI TABLE'!$D$2:$D$91))/_xlfn.XLOOKUP(L6+1,'DGI TABLE'!$A$2:$A$91,'DGI TABLE'!$C$2:$C$91)</f>
        <v>3.76294703714647</v>
      </c>
      <c r="R6" s="33" t="n">
        <f aca="false">_xlfn.XLOOKUP(L6,'DGI TABLE'!$A$2:$A$91,'DGI TABLE'!$F$2:$F$91)/_xlfn.XLOOKUP(L6,'DGI TABLE'!$A$2:$A$91,'DGI TABLE'!$C$2:$C$91)</f>
        <v>0.00194230623469409</v>
      </c>
      <c r="S6" s="33" t="n">
        <f aca="false">P6/Q6</f>
        <v>0.0145358555333312</v>
      </c>
      <c r="T6" s="33" t="n">
        <f aca="false">O6+0.03/N6</f>
        <v>0.108500906594401</v>
      </c>
      <c r="U6" s="33" t="n">
        <f aca="false">MIN(S6,T6)</f>
        <v>0.0145358555333312</v>
      </c>
      <c r="V6" s="33" t="n">
        <f aca="false">(_xlfn.XLOOKUP(L6+K6,'DGI TABLE'!$A$2:$A$91,'DGI TABLE'!$G$2:$G$91)-_xlfn.XLOOKUP(L6+F6,'DGI TABLE'!$A$2:$A$91,'DGI TABLE'!$G$2:$G$91))/_xlfn.XLOOKUP(L6+K6,'DGI TABLE'!$A$2:$A$91,'DGI TABLE'!$C$2:$C$91)</f>
        <v>0.0549216108440434</v>
      </c>
      <c r="W6" s="33" t="n">
        <f aca="false">(_xlfn.XLOOKUP(L6+K6,'DGI TABLE'!$A$2:$A$91,'DGI TABLE'!$D$2:$D$91)-_xlfn.XLOOKUP(L6+H6,'DGI TABLE'!$A$2:$A$91,'DGI TABLE'!$D$2:$D$91))/_xlfn.XLOOKUP(L6+K6,'DGI TABLE'!$A$2:$A$91,'DGI TABLE'!$C$2:$C$91)</f>
        <v>1.95924043227592</v>
      </c>
      <c r="X6" s="33" t="n">
        <f aca="false">G6*(V6-(U6*W6))</f>
        <v>1586.54249792516</v>
      </c>
      <c r="Y6" s="32"/>
    </row>
    <row r="7" customFormat="false" ht="14.25" hidden="false" customHeight="false" outlineLevel="0" collapsed="false">
      <c r="A7" s="33" t="n">
        <v>6</v>
      </c>
      <c r="B7" s="33" t="s">
        <v>148</v>
      </c>
      <c r="C7" s="33" t="s">
        <v>215</v>
      </c>
      <c r="D7" s="33" t="n">
        <v>51</v>
      </c>
      <c r="E7" s="33" t="s">
        <v>38</v>
      </c>
      <c r="F7" s="33" t="n">
        <v>5</v>
      </c>
      <c r="G7" s="33" t="n">
        <v>75000</v>
      </c>
      <c r="H7" s="33" t="n">
        <v>5</v>
      </c>
      <c r="I7" s="33" t="s">
        <v>216</v>
      </c>
      <c r="J7" s="33" t="n">
        <v>0</v>
      </c>
      <c r="K7" s="33" t="n">
        <v>4</v>
      </c>
      <c r="L7" s="33" t="n">
        <f aca="false">IF(C7="F",D7-3,D7)</f>
        <v>48</v>
      </c>
      <c r="M7" s="33" t="n">
        <f aca="false">(_xlfn.XLOOKUP(L7,'DGI TABLE'!$A$2:$A$91,'DGI TABLE'!$G$2:$G$91)-_xlfn.XLOOKUP(L7+F7,'DGI TABLE'!$A$2:$A$91,'DGI TABLE'!$G$2:$G$91)+_xlfn.XLOOKUP(L7+F7,'DGI TABLE'!$A$2:$A$91,'DGI TABLE'!$C$2:$C$91))/_xlfn.XLOOKUP(L7,'DGI TABLE'!$A$2:$A$91,'DGI TABLE'!$C$2:$C$91)</f>
        <v>0.823983497594056</v>
      </c>
      <c r="N7" s="33" t="n">
        <f aca="false">(_xlfn.XLOOKUP(L7,'DGI TABLE'!$A$2:$A$91,'DGI TABLE'!$D$2:$D$91)-_xlfn.XLOOKUP(L7+H7,'DGI TABLE'!$A$2:$A$91,'DGI TABLE'!$D$2:$D$91))/_xlfn.XLOOKUP(L7,'DGI TABLE'!$A$2:$A$91,'DGI TABLE'!$C$2:$C$91)</f>
        <v>4.57642817462005</v>
      </c>
      <c r="O7" s="33" t="n">
        <f aca="false">M7/N7</f>
        <v>0.180049476612285</v>
      </c>
      <c r="P7" s="33" t="n">
        <f aca="false">(_xlfn.XLOOKUP(L7+1,'DGI TABLE'!$A$2:$A$91,'DGI TABLE'!$G$2:$G$91)-_xlfn.XLOOKUP(L7+F7,'DGI TABLE'!$A$2:$A$91,'DGI TABLE'!$G$2:$G$91))/_xlfn.XLOOKUP(L7+1,'DGI TABLE'!$A$2:$A$91,'DGI TABLE'!$C$2:$C$91)</f>
        <v>0.0248121708370161</v>
      </c>
      <c r="Q7" s="33" t="n">
        <f aca="false">(_xlfn.XLOOKUP(L7+1,'DGI TABLE'!$A$2:$A$91,'DGI TABLE'!$D$2:$D$91)-_xlfn.XLOOKUP(L7+H7,'DGI TABLE'!$A$2:$A$91,'DGI TABLE'!$D$2:$D$91))/_xlfn.XLOOKUP(L7+1,'DGI TABLE'!$A$2:$A$91,'DGI TABLE'!$C$2:$C$91)</f>
        <v>3.74013088601208</v>
      </c>
      <c r="R7" s="33" t="n">
        <f aca="false">_xlfn.XLOOKUP(L7,'DGI TABLE'!$A$2:$A$91,'DGI TABLE'!$F$2:$F$91)/_xlfn.XLOOKUP(L7,'DGI TABLE'!$A$2:$A$91,'DGI TABLE'!$C$2:$C$91)</f>
        <v>0.00530769293563606</v>
      </c>
      <c r="S7" s="33" t="n">
        <f aca="false">P7/Q7</f>
        <v>0.00663403811075504</v>
      </c>
      <c r="T7" s="33" t="n">
        <f aca="false">O7+0.03/N7</f>
        <v>0.186604807288373</v>
      </c>
      <c r="U7" s="33" t="n">
        <f aca="false">MIN(S7,T7)</f>
        <v>0.00663403811075504</v>
      </c>
      <c r="V7" s="33" t="n">
        <f aca="false">(_xlfn.XLOOKUP(L7+K7,'DGI TABLE'!$A$2:$A$91,'DGI TABLE'!$G$2:$G$91)-_xlfn.XLOOKUP(L7+F7,'DGI TABLE'!$A$2:$A$91,'DGI TABLE'!$G$2:$G$91))/_xlfn.XLOOKUP(L7+K7,'DGI TABLE'!$A$2:$A$91,'DGI TABLE'!$C$2:$C$91)</f>
        <v>0.00759614940096044</v>
      </c>
      <c r="W7" s="33" t="n">
        <f aca="false">(_xlfn.XLOOKUP(L7+K7,'DGI TABLE'!$A$2:$A$91,'DGI TABLE'!$D$2:$D$91)-_xlfn.XLOOKUP(L7+H7,'DGI TABLE'!$A$2:$A$91,'DGI TABLE'!$D$2:$D$91))/_xlfn.XLOOKUP(L7+K7,'DGI TABLE'!$A$2:$A$91,'DGI TABLE'!$C$2:$C$91)</f>
        <v>0.999999914070612</v>
      </c>
      <c r="X7" s="33" t="n">
        <f aca="false">G7*(V7-(U7*W7))</f>
        <v>72.1583895198177</v>
      </c>
      <c r="Y7" s="32"/>
    </row>
    <row r="8" customFormat="false" ht="14.25" hidden="false" customHeight="false" outlineLevel="0" collapsed="false">
      <c r="A8" s="33" t="n">
        <v>7</v>
      </c>
      <c r="B8" s="33" t="s">
        <v>145</v>
      </c>
      <c r="C8" s="33" t="s">
        <v>217</v>
      </c>
      <c r="D8" s="33" t="n">
        <v>41</v>
      </c>
      <c r="E8" s="33" t="s">
        <v>38</v>
      </c>
      <c r="F8" s="33" t="n">
        <v>20</v>
      </c>
      <c r="G8" s="33" t="n">
        <v>150000</v>
      </c>
      <c r="H8" s="33" t="n">
        <v>15</v>
      </c>
      <c r="I8" s="33" t="s">
        <v>216</v>
      </c>
      <c r="J8" s="33" t="n">
        <v>0</v>
      </c>
      <c r="K8" s="33" t="n">
        <v>3</v>
      </c>
      <c r="L8" s="33" t="n">
        <f aca="false">IF(C8="F",D8-3,D8)</f>
        <v>41</v>
      </c>
      <c r="M8" s="33" t="n">
        <f aca="false">(_xlfn.XLOOKUP(L8,'DGI TABLE'!$A$2:$A$91,'DGI TABLE'!$G$2:$G$91)-_xlfn.XLOOKUP(L8+F8,'DGI TABLE'!$A$2:$A$91,'DGI TABLE'!$G$2:$G$91)+_xlfn.XLOOKUP(L8+F8,'DGI TABLE'!$A$2:$A$91,'DGI TABLE'!$C$2:$C$91))/_xlfn.XLOOKUP(L8,'DGI TABLE'!$A$2:$A$91,'DGI TABLE'!$C$2:$C$91)</f>
        <v>0.479039998636044</v>
      </c>
      <c r="N8" s="33" t="n">
        <f aca="false">(_xlfn.XLOOKUP(L8,'DGI TABLE'!$A$2:$A$91,'DGI TABLE'!$D$2:$D$91)-_xlfn.XLOOKUP(L8+H8,'DGI TABLE'!$A$2:$A$91,'DGI TABLE'!$D$2:$D$91))/_xlfn.XLOOKUP(L8,'DGI TABLE'!$A$2:$A$91,'DGI TABLE'!$C$2:$C$91)</f>
        <v>11.2476286973736</v>
      </c>
      <c r="O8" s="33" t="n">
        <f aca="false">M8/N8</f>
        <v>0.0425903105023287</v>
      </c>
      <c r="P8" s="33" t="n">
        <f aca="false">(_xlfn.XLOOKUP(L8+1,'DGI TABLE'!$A$2:$A$91,'DGI TABLE'!$G$2:$G$91)-_xlfn.XLOOKUP(L8+F8,'DGI TABLE'!$A$2:$A$91,'DGI TABLE'!$G$2:$G$91))/_xlfn.XLOOKUP(L8+1,'DGI TABLE'!$A$2:$A$91,'DGI TABLE'!$C$2:$C$91)</f>
        <v>0.0888755622867875</v>
      </c>
      <c r="Q8" s="33" t="n">
        <f aca="false">(_xlfn.XLOOKUP(L8+1,'DGI TABLE'!$A$2:$A$91,'DGI TABLE'!$D$2:$D$91)-_xlfn.XLOOKUP(L8+H8,'DGI TABLE'!$A$2:$A$91,'DGI TABLE'!$D$2:$D$91))/_xlfn.XLOOKUP(L8+1,'DGI TABLE'!$A$2:$A$91,'DGI TABLE'!$C$2:$C$91)</f>
        <v>10.6888525596769</v>
      </c>
      <c r="R8" s="33" t="n">
        <f aca="false">_xlfn.XLOOKUP(L8,'DGI TABLE'!$A$2:$A$91,'DGI TABLE'!$F$2:$F$91)/_xlfn.XLOOKUP(L8,'DGI TABLE'!$A$2:$A$91,'DGI TABLE'!$C$2:$C$91)</f>
        <v>0.00281730978377702</v>
      </c>
      <c r="S8" s="33" t="n">
        <f aca="false">P8/Q8</f>
        <v>0.00831478980466677</v>
      </c>
      <c r="T8" s="33" t="n">
        <f aca="false">O8+0.03/N8</f>
        <v>0.0452575393740468</v>
      </c>
      <c r="U8" s="33" t="n">
        <f aca="false">MIN(S8,T8)</f>
        <v>0.00831478980466677</v>
      </c>
      <c r="V8" s="33" t="n">
        <f aca="false">(_xlfn.XLOOKUP(L8+K8,'DGI TABLE'!$A$2:$A$91,'DGI TABLE'!$G$2:$G$91)-_xlfn.XLOOKUP(L8+F8,'DGI TABLE'!$A$2:$A$91,'DGI TABLE'!$G$2:$G$91))/_xlfn.XLOOKUP(L8+K8,'DGI TABLE'!$A$2:$A$91,'DGI TABLE'!$C$2:$C$91)</f>
        <v>0.0899310762959599</v>
      </c>
      <c r="W8" s="33" t="n">
        <f aca="false">(_xlfn.XLOOKUP(L8+K8,'DGI TABLE'!$A$2:$A$91,'DGI TABLE'!$D$2:$D$91)-_xlfn.XLOOKUP(L8+H8,'DGI TABLE'!$A$2:$A$91,'DGI TABLE'!$D$2:$D$91))/_xlfn.XLOOKUP(L8+K8,'DGI TABLE'!$A$2:$A$91,'DGI TABLE'!$C$2:$C$91)</f>
        <v>9.50617569930832</v>
      </c>
      <c r="X8" s="33" t="n">
        <f aca="false">G8*(V8-(U8*W8))</f>
        <v>1633.38352649701</v>
      </c>
      <c r="Y8" s="32"/>
    </row>
    <row r="9" customFormat="false" ht="14.25" hidden="false" customHeight="false" outlineLevel="0" collapsed="false">
      <c r="A9" s="33" t="n">
        <v>8</v>
      </c>
      <c r="B9" s="33" t="s">
        <v>149</v>
      </c>
      <c r="C9" s="33" t="s">
        <v>217</v>
      </c>
      <c r="D9" s="33" t="n">
        <v>36</v>
      </c>
      <c r="E9" s="33" t="s">
        <v>38</v>
      </c>
      <c r="F9" s="33" t="n">
        <v>5</v>
      </c>
      <c r="G9" s="33" t="n">
        <v>60000</v>
      </c>
      <c r="H9" s="33" t="n">
        <v>3</v>
      </c>
      <c r="I9" s="33" t="s">
        <v>216</v>
      </c>
      <c r="J9" s="33" t="n">
        <v>0</v>
      </c>
      <c r="K9" s="33" t="n">
        <v>2</v>
      </c>
      <c r="L9" s="33" t="n">
        <f aca="false">IF(C9="F",D9-3,D9)</f>
        <v>36</v>
      </c>
      <c r="M9" s="33" t="n">
        <f aca="false">(_xlfn.XLOOKUP(L9,'DGI TABLE'!$A$2:$A$91,'DGI TABLE'!$G$2:$G$91)-_xlfn.XLOOKUP(L9+F9,'DGI TABLE'!$A$2:$A$91,'DGI TABLE'!$G$2:$G$91)+_xlfn.XLOOKUP(L9+F9,'DGI TABLE'!$A$2:$A$91,'DGI TABLE'!$C$2:$C$91))/_xlfn.XLOOKUP(L9,'DGI TABLE'!$A$2:$A$91,'DGI TABLE'!$C$2:$C$91)</f>
        <v>0.822699857212293</v>
      </c>
      <c r="N9" s="33" t="n">
        <f aca="false">(_xlfn.XLOOKUP(L9,'DGI TABLE'!$A$2:$A$91,'DGI TABLE'!$D$2:$D$91)-_xlfn.XLOOKUP(L9+H9,'DGI TABLE'!$A$2:$A$91,'DGI TABLE'!$D$2:$D$91))/_xlfn.XLOOKUP(L9,'DGI TABLE'!$A$2:$A$91,'DGI TABLE'!$C$2:$C$91)</f>
        <v>2.8799733188906</v>
      </c>
      <c r="O9" s="33" t="n">
        <f aca="false">M9/N9</f>
        <v>0.285662319097181</v>
      </c>
      <c r="P9" s="33" t="n">
        <f aca="false">(_xlfn.XLOOKUP(L9+1,'DGI TABLE'!$A$2:$A$91,'DGI TABLE'!$G$2:$G$91)-_xlfn.XLOOKUP(L9+F9,'DGI TABLE'!$A$2:$A$91,'DGI TABLE'!$G$2:$G$91))/_xlfn.XLOOKUP(L9+1,'DGI TABLE'!$A$2:$A$91,'DGI TABLE'!$C$2:$C$91)</f>
        <v>0.00893372629663368</v>
      </c>
      <c r="Q9" s="33" t="n">
        <f aca="false">(_xlfn.XLOOKUP(L9+1,'DGI TABLE'!$A$2:$A$91,'DGI TABLE'!$D$2:$D$91)-_xlfn.XLOOKUP(L9+H9,'DGI TABLE'!$A$2:$A$91,'DGI TABLE'!$D$2:$D$91))/_xlfn.XLOOKUP(L9+1,'DGI TABLE'!$A$2:$A$91,'DGI TABLE'!$C$2:$C$91)</f>
        <v>1.95936535046726</v>
      </c>
      <c r="R9" s="33" t="n">
        <f aca="false">_xlfn.XLOOKUP(L9,'DGI TABLE'!$A$2:$A$91,'DGI TABLE'!$F$2:$F$91)/_xlfn.XLOOKUP(L9,'DGI TABLE'!$A$2:$A$91,'DGI TABLE'!$C$2:$C$91)</f>
        <v>0.00205769435175035</v>
      </c>
      <c r="S9" s="33" t="n">
        <f aca="false">P9/Q9</f>
        <v>0.00455949999039392</v>
      </c>
      <c r="T9" s="33" t="n">
        <f aca="false">O9+0.03/N9</f>
        <v>0.296079082267597</v>
      </c>
      <c r="U9" s="33" t="n">
        <f aca="false">MIN(S9,T9)</f>
        <v>0.00455949999039392</v>
      </c>
      <c r="V9" s="33" t="n">
        <f aca="false">(_xlfn.XLOOKUP(L9+K9,'DGI TABLE'!$A$2:$A$91,'DGI TABLE'!$G$2:$G$91)-_xlfn.XLOOKUP(L9+F9,'DGI TABLE'!$A$2:$A$91,'DGI TABLE'!$G$2:$G$91))/_xlfn.XLOOKUP(L9+K9,'DGI TABLE'!$A$2:$A$91,'DGI TABLE'!$C$2:$C$91)</f>
        <v>0.00704699892674671</v>
      </c>
      <c r="W9" s="33" t="n">
        <f aca="false">(_xlfn.XLOOKUP(L9+K9,'DGI TABLE'!$A$2:$A$91,'DGI TABLE'!$D$2:$D$91)-_xlfn.XLOOKUP(L9+H9,'DGI TABLE'!$A$2:$A$91,'DGI TABLE'!$D$2:$D$91))/_xlfn.XLOOKUP(L9+K9,'DGI TABLE'!$A$2:$A$91,'DGI TABLE'!$C$2:$C$91)</f>
        <v>0.999999999999999</v>
      </c>
      <c r="X9" s="33" t="n">
        <f aca="false">G9*(V9-(U9*W9))</f>
        <v>149.249936181168</v>
      </c>
      <c r="Y9" s="32"/>
    </row>
    <row r="10" customFormat="false" ht="14.25" hidden="false" customHeight="false" outlineLevel="0" collapsed="false">
      <c r="A10" s="33" t="n">
        <v>9</v>
      </c>
      <c r="B10" s="33" t="s">
        <v>165</v>
      </c>
      <c r="C10" s="33" t="s">
        <v>217</v>
      </c>
      <c r="D10" s="33" t="n">
        <v>60</v>
      </c>
      <c r="E10" s="33" t="s">
        <v>38</v>
      </c>
      <c r="F10" s="33" t="n">
        <v>20</v>
      </c>
      <c r="G10" s="33" t="n">
        <v>50000</v>
      </c>
      <c r="H10" s="33" t="n">
        <v>15</v>
      </c>
      <c r="I10" s="33" t="s">
        <v>216</v>
      </c>
      <c r="J10" s="33" t="n">
        <v>0</v>
      </c>
      <c r="K10" s="33" t="n">
        <v>3</v>
      </c>
      <c r="L10" s="33" t="n">
        <f aca="false">IF(C10="F",D10-3,D10)</f>
        <v>60</v>
      </c>
      <c r="M10" s="33" t="n">
        <f aca="false">(_xlfn.XLOOKUP(L10,'DGI TABLE'!$A$2:$A$91,'DGI TABLE'!$G$2:$G$91)-_xlfn.XLOOKUP(L10+F10,'DGI TABLE'!$A$2:$A$91,'DGI TABLE'!$G$2:$G$91)+_xlfn.XLOOKUP(L10+F10,'DGI TABLE'!$A$2:$A$91,'DGI TABLE'!$C$2:$C$91))/_xlfn.XLOOKUP(L10,'DGI TABLE'!$A$2:$A$91,'DGI TABLE'!$C$2:$C$91)</f>
        <v>0.555315297564277</v>
      </c>
      <c r="N10" s="33" t="n">
        <f aca="false">(_xlfn.XLOOKUP(L10,'DGI TABLE'!$A$2:$A$91,'DGI TABLE'!$D$2:$D$91)-_xlfn.XLOOKUP(L10+H10,'DGI TABLE'!$A$2:$A$91,'DGI TABLE'!$D$2:$D$91))/_xlfn.XLOOKUP(L10,'DGI TABLE'!$A$2:$A$91,'DGI TABLE'!$C$2:$C$91)</f>
        <v>10.1114650755967</v>
      </c>
      <c r="O10" s="33" t="n">
        <f aca="false">M10/N10</f>
        <v>0.0549193705771174</v>
      </c>
      <c r="P10" s="33" t="n">
        <f aca="false">(_xlfn.XLOOKUP(L10+1,'DGI TABLE'!$A$2:$A$91,'DGI TABLE'!$G$2:$G$91)-_xlfn.XLOOKUP(L10+F10,'DGI TABLE'!$A$2:$A$91,'DGI TABLE'!$G$2:$G$91))/_xlfn.XLOOKUP(L10+1,'DGI TABLE'!$A$2:$A$91,'DGI TABLE'!$C$2:$C$91)</f>
        <v>0.356438789300213</v>
      </c>
      <c r="Q10" s="33" t="n">
        <f aca="false">(_xlfn.XLOOKUP(L10+1,'DGI TABLE'!$A$2:$A$91,'DGI TABLE'!$D$2:$D$91)-_xlfn.XLOOKUP(L10+H10,'DGI TABLE'!$A$2:$A$91,'DGI TABLE'!$D$2:$D$91))/_xlfn.XLOOKUP(L10+1,'DGI TABLE'!$A$2:$A$91,'DGI TABLE'!$C$2:$C$91)</f>
        <v>9.61817728800431</v>
      </c>
      <c r="R10" s="33" t="n">
        <f aca="false">_xlfn.XLOOKUP(L10,'DGI TABLE'!$A$2:$A$91,'DGI TABLE'!$F$2:$F$91)/_xlfn.XLOOKUP(L10,'DGI TABLE'!$A$2:$A$91,'DGI TABLE'!$C$2:$C$91)</f>
        <v>0.0142211496388498</v>
      </c>
      <c r="S10" s="33" t="n">
        <f aca="false">P10/Q10</f>
        <v>0.0370588707846714</v>
      </c>
      <c r="T10" s="33" t="n">
        <f aca="false">O10+0.03/N10</f>
        <v>0.0578862996794492</v>
      </c>
      <c r="U10" s="33" t="n">
        <f aca="false">MIN(S10,T10)</f>
        <v>0.0370588707846714</v>
      </c>
      <c r="V10" s="33" t="n">
        <f aca="false">(_xlfn.XLOOKUP(L10+K10,'DGI TABLE'!$A$2:$A$91,'DGI TABLE'!$G$2:$G$91)-_xlfn.XLOOKUP(L10+F10,'DGI TABLE'!$A$2:$A$91,'DGI TABLE'!$G$2:$G$91))/_xlfn.XLOOKUP(L10+K10,'DGI TABLE'!$A$2:$A$91,'DGI TABLE'!$C$2:$C$91)</f>
        <v>0.363826785093231</v>
      </c>
      <c r="W10" s="33" t="n">
        <f aca="false">(_xlfn.XLOOKUP(L10+K10,'DGI TABLE'!$A$2:$A$91,'DGI TABLE'!$D$2:$D$91)-_xlfn.XLOOKUP(L10+H10,'DGI TABLE'!$A$2:$A$91,'DGI TABLE'!$D$2:$D$91))/_xlfn.XLOOKUP(L10+K10,'DGI TABLE'!$A$2:$A$91,'DGI TABLE'!$C$2:$C$91)</f>
        <v>8.58211359182947</v>
      </c>
      <c r="X10" s="33" t="n">
        <f aca="false">G10*(V10-(U10*W10))</f>
        <v>2289.16732171253</v>
      </c>
      <c r="Y10" s="32"/>
    </row>
    <row r="11" customFormat="false" ht="14.25" hidden="false" customHeight="false" outlineLevel="0" collapsed="false">
      <c r="A11" s="33" t="n">
        <v>10</v>
      </c>
      <c r="B11" s="33" t="s">
        <v>166</v>
      </c>
      <c r="C11" s="33" t="s">
        <v>215</v>
      </c>
      <c r="D11" s="33" t="n">
        <v>41</v>
      </c>
      <c r="E11" s="33" t="s">
        <v>38</v>
      </c>
      <c r="F11" s="33" t="n">
        <v>25</v>
      </c>
      <c r="G11" s="33" t="n">
        <v>120000</v>
      </c>
      <c r="H11" s="33" t="n">
        <v>20</v>
      </c>
      <c r="I11" s="33" t="s">
        <v>216</v>
      </c>
      <c r="J11" s="33" t="n">
        <v>0</v>
      </c>
      <c r="K11" s="33" t="n">
        <v>2</v>
      </c>
      <c r="L11" s="33" t="n">
        <f aca="false">IF(C11="F",D11-3,D11)</f>
        <v>38</v>
      </c>
      <c r="M11" s="33" t="n">
        <f aca="false">(_xlfn.XLOOKUP(L11,'DGI TABLE'!$A$2:$A$91,'DGI TABLE'!$G$2:$G$91)-_xlfn.XLOOKUP(L11+F11,'DGI TABLE'!$A$2:$A$91,'DGI TABLE'!$G$2:$G$91)+_xlfn.XLOOKUP(L11+F11,'DGI TABLE'!$A$2:$A$91,'DGI TABLE'!$C$2:$C$91))/_xlfn.XLOOKUP(L11,'DGI TABLE'!$A$2:$A$91,'DGI TABLE'!$C$2:$C$91)</f>
        <v>0.403840986428877</v>
      </c>
      <c r="N11" s="33" t="n">
        <f aca="false">(_xlfn.XLOOKUP(L11,'DGI TABLE'!$A$2:$A$91,'DGI TABLE'!$D$2:$D$91)-_xlfn.XLOOKUP(L11+H11,'DGI TABLE'!$A$2:$A$91,'DGI TABLE'!$D$2:$D$91))/_xlfn.XLOOKUP(L11,'DGI TABLE'!$A$2:$A$91,'DGI TABLE'!$C$2:$C$91)</f>
        <v>13.676013676879</v>
      </c>
      <c r="O11" s="33" t="n">
        <f aca="false">M11/N11</f>
        <v>0.0295291446740522</v>
      </c>
      <c r="P11" s="33" t="n">
        <f aca="false">(_xlfn.XLOOKUP(L11+1,'DGI TABLE'!$A$2:$A$91,'DGI TABLE'!$G$2:$G$91)-_xlfn.XLOOKUP(L11+F11,'DGI TABLE'!$A$2:$A$91,'DGI TABLE'!$G$2:$G$91))/_xlfn.XLOOKUP(L11+1,'DGI TABLE'!$A$2:$A$91,'DGI TABLE'!$C$2:$C$91)</f>
        <v>0.0971248489303799</v>
      </c>
      <c r="Q11" s="33" t="n">
        <f aca="false">(_xlfn.XLOOKUP(L11+1,'DGI TABLE'!$A$2:$A$91,'DGI TABLE'!$D$2:$D$91)-_xlfn.XLOOKUP(L11+H11,'DGI TABLE'!$A$2:$A$91,'DGI TABLE'!$D$2:$D$91))/_xlfn.XLOOKUP(L11+1,'DGI TABLE'!$A$2:$A$91,'DGI TABLE'!$C$2:$C$91)</f>
        <v>13.2146371938104</v>
      </c>
      <c r="R11" s="33" t="n">
        <f aca="false">_xlfn.XLOOKUP(L11,'DGI TABLE'!$A$2:$A$91,'DGI TABLE'!$F$2:$F$91)/_xlfn.XLOOKUP(L11,'DGI TABLE'!$A$2:$A$91,'DGI TABLE'!$C$2:$C$91)</f>
        <v>0.00229807741175556</v>
      </c>
      <c r="S11" s="33" t="n">
        <f aca="false">P11/Q11</f>
        <v>0.00734979307459702</v>
      </c>
      <c r="T11" s="33" t="n">
        <f aca="false">O11+0.03/N11</f>
        <v>0.0317227663469172</v>
      </c>
      <c r="U11" s="33" t="n">
        <f aca="false">MIN(S11,T11)</f>
        <v>0.00734979307459702</v>
      </c>
      <c r="V11" s="33" t="n">
        <f aca="false">(_xlfn.XLOOKUP(L11+K11,'DGI TABLE'!$A$2:$A$91,'DGI TABLE'!$G$2:$G$91)-_xlfn.XLOOKUP(L11+F11,'DGI TABLE'!$A$2:$A$91,'DGI TABLE'!$G$2:$G$91))/_xlfn.XLOOKUP(L11+K11,'DGI TABLE'!$A$2:$A$91,'DGI TABLE'!$C$2:$C$91)</f>
        <v>0.098720595976779</v>
      </c>
      <c r="W11" s="33" t="n">
        <f aca="false">(_xlfn.XLOOKUP(L11+K11,'DGI TABLE'!$A$2:$A$91,'DGI TABLE'!$D$2:$D$91)-_xlfn.XLOOKUP(L11+H11,'DGI TABLE'!$A$2:$A$91,'DGI TABLE'!$D$2:$D$91))/_xlfn.XLOOKUP(L11+K11,'DGI TABLE'!$A$2:$A$91,'DGI TABLE'!$C$2:$C$91)</f>
        <v>12.7355709474115</v>
      </c>
      <c r="X11" s="33" t="n">
        <f aca="false">G11*(V11-(U11*W11))</f>
        <v>614.014179174577</v>
      </c>
      <c r="Y11" s="32"/>
    </row>
    <row r="12" customFormat="false" ht="14.25" hidden="false" customHeight="false" outlineLevel="0" collapsed="false">
      <c r="A12" s="33" t="n">
        <v>11</v>
      </c>
      <c r="B12" s="33" t="s">
        <v>168</v>
      </c>
      <c r="C12" s="33" t="s">
        <v>215</v>
      </c>
      <c r="D12" s="33" t="n">
        <v>42</v>
      </c>
      <c r="E12" s="33" t="s">
        <v>38</v>
      </c>
      <c r="F12" s="33" t="n">
        <v>10</v>
      </c>
      <c r="G12" s="33" t="n">
        <v>100000</v>
      </c>
      <c r="H12" s="33" t="n">
        <v>7</v>
      </c>
      <c r="I12" s="33" t="s">
        <v>216</v>
      </c>
      <c r="J12" s="33" t="n">
        <v>0</v>
      </c>
      <c r="K12" s="33" t="n">
        <v>3</v>
      </c>
      <c r="L12" s="33" t="n">
        <f aca="false">IF(C12="F",D12-3,D12)</f>
        <v>39</v>
      </c>
      <c r="M12" s="33" t="n">
        <f aca="false">(_xlfn.XLOOKUP(L12,'DGI TABLE'!$A$2:$A$91,'DGI TABLE'!$G$2:$G$91)-_xlfn.XLOOKUP(L12+F12,'DGI TABLE'!$A$2:$A$91,'DGI TABLE'!$G$2:$G$91)+_xlfn.XLOOKUP(L12+F12,'DGI TABLE'!$A$2:$A$91,'DGI TABLE'!$C$2:$C$91))/_xlfn.XLOOKUP(L12,'DGI TABLE'!$A$2:$A$91,'DGI TABLE'!$C$2:$C$91)</f>
        <v>0.67982078022583</v>
      </c>
      <c r="N12" s="33" t="n">
        <f aca="false">(_xlfn.XLOOKUP(L12,'DGI TABLE'!$A$2:$A$91,'DGI TABLE'!$D$2:$D$91)-_xlfn.XLOOKUP(L12+H12,'DGI TABLE'!$A$2:$A$91,'DGI TABLE'!$D$2:$D$91))/_xlfn.XLOOKUP(L12,'DGI TABLE'!$A$2:$A$91,'DGI TABLE'!$C$2:$C$91)</f>
        <v>6.1910760792889</v>
      </c>
      <c r="O12" s="33" t="n">
        <f aca="false">M12/N12</f>
        <v>0.109806562141926</v>
      </c>
      <c r="P12" s="33" t="n">
        <f aca="false">(_xlfn.XLOOKUP(L12+1,'DGI TABLE'!$A$2:$A$91,'DGI TABLE'!$G$2:$G$91)-_xlfn.XLOOKUP(L12+F12,'DGI TABLE'!$A$2:$A$91,'DGI TABLE'!$G$2:$G$91))/_xlfn.XLOOKUP(L12+1,'DGI TABLE'!$A$2:$A$91,'DGI TABLE'!$C$2:$C$91)</f>
        <v>0.0282488470324642</v>
      </c>
      <c r="Q12" s="33" t="n">
        <f aca="false">(_xlfn.XLOOKUP(L12+1,'DGI TABLE'!$A$2:$A$91,'DGI TABLE'!$D$2:$D$91)-_xlfn.XLOOKUP(L12+H12,'DGI TABLE'!$A$2:$A$91,'DGI TABLE'!$D$2:$D$91))/_xlfn.XLOOKUP(L12+1,'DGI TABLE'!$A$2:$A$91,'DGI TABLE'!$C$2:$C$91)</f>
        <v>5.41246672296447</v>
      </c>
      <c r="R12" s="33" t="n">
        <f aca="false">_xlfn.XLOOKUP(L12,'DGI TABLE'!$A$2:$A$91,'DGI TABLE'!$F$2:$F$91)/_xlfn.XLOOKUP(L12,'DGI TABLE'!$A$2:$A$91,'DGI TABLE'!$C$2:$C$91)</f>
        <v>0.00244230964205229</v>
      </c>
      <c r="S12" s="33" t="n">
        <f aca="false">P12/Q12</f>
        <v>0.00521921860740642</v>
      </c>
      <c r="T12" s="33" t="n">
        <f aca="false">O12+0.03/N12</f>
        <v>0.114652246416484</v>
      </c>
      <c r="U12" s="33" t="n">
        <f aca="false">MIN(S12,T12)</f>
        <v>0.00521921860740642</v>
      </c>
      <c r="V12" s="33" t="n">
        <f aca="false">(_xlfn.XLOOKUP(L12+K12,'DGI TABLE'!$A$2:$A$91,'DGI TABLE'!$G$2:$G$91)-_xlfn.XLOOKUP(L12+F12,'DGI TABLE'!$A$2:$A$91,'DGI TABLE'!$G$2:$G$91))/_xlfn.XLOOKUP(L12+K12,'DGI TABLE'!$A$2:$A$91,'DGI TABLE'!$C$2:$C$91)</f>
        <v>0.02494385347343</v>
      </c>
      <c r="W12" s="33" t="n">
        <f aca="false">(_xlfn.XLOOKUP(L12+K12,'DGI TABLE'!$A$2:$A$91,'DGI TABLE'!$D$2:$D$91)-_xlfn.XLOOKUP(L12+H12,'DGI TABLE'!$A$2:$A$91,'DGI TABLE'!$D$2:$D$91))/_xlfn.XLOOKUP(L12+K12,'DGI TABLE'!$A$2:$A$91,'DGI TABLE'!$C$2:$C$91)</f>
        <v>3.75654728008359</v>
      </c>
      <c r="X12" s="33" t="n">
        <f aca="false">G12*(V12-(U12*W12))</f>
        <v>533.761200961574</v>
      </c>
      <c r="Y12" s="32"/>
    </row>
    <row r="13" customFormat="false" ht="14.25" hidden="false" customHeight="false" outlineLevel="0" collapsed="false">
      <c r="A13" s="33" t="n">
        <v>12</v>
      </c>
      <c r="B13" s="33" t="s">
        <v>183</v>
      </c>
      <c r="C13" s="33" t="s">
        <v>217</v>
      </c>
      <c r="D13" s="33" t="n">
        <v>47</v>
      </c>
      <c r="E13" s="33" t="s">
        <v>38</v>
      </c>
      <c r="F13" s="33" t="n">
        <v>25</v>
      </c>
      <c r="G13" s="33" t="n">
        <v>80000</v>
      </c>
      <c r="H13" s="33" t="n">
        <v>20</v>
      </c>
      <c r="I13" s="33" t="s">
        <v>216</v>
      </c>
      <c r="J13" s="33" t="n">
        <v>0</v>
      </c>
      <c r="K13" s="33" t="n">
        <v>4</v>
      </c>
      <c r="L13" s="33" t="n">
        <f aca="false">IF(C13="F",D13-3,D13)</f>
        <v>47</v>
      </c>
      <c r="M13" s="33" t="n">
        <f aca="false">(_xlfn.XLOOKUP(L13,'DGI TABLE'!$A$2:$A$91,'DGI TABLE'!$G$2:$G$91)-_xlfn.XLOOKUP(L13+F13,'DGI TABLE'!$A$2:$A$91,'DGI TABLE'!$G$2:$G$91)+_xlfn.XLOOKUP(L13+F13,'DGI TABLE'!$A$2:$A$91,'DGI TABLE'!$C$2:$C$91))/_xlfn.XLOOKUP(L13,'DGI TABLE'!$A$2:$A$91,'DGI TABLE'!$C$2:$C$91)</f>
        <v>0.434063577467355</v>
      </c>
      <c r="N13" s="33" t="n">
        <f aca="false">(_xlfn.XLOOKUP(L13,'DGI TABLE'!$A$2:$A$91,'DGI TABLE'!$D$2:$D$91)-_xlfn.XLOOKUP(L13+H13,'DGI TABLE'!$A$2:$A$91,'DGI TABLE'!$D$2:$D$91))/_xlfn.XLOOKUP(L13,'DGI TABLE'!$A$2:$A$91,'DGI TABLE'!$C$2:$C$91)</f>
        <v>13.1688104178099</v>
      </c>
      <c r="O13" s="33" t="n">
        <f aca="false">M13/N13</f>
        <v>0.0329614873094624</v>
      </c>
      <c r="P13" s="33" t="n">
        <f aca="false">(_xlfn.XLOOKUP(L13+1,'DGI TABLE'!$A$2:$A$91,'DGI TABLE'!$G$2:$G$91)-_xlfn.XLOOKUP(L13+F13,'DGI TABLE'!$A$2:$A$91,'DGI TABLE'!$G$2:$G$91))/_xlfn.XLOOKUP(L13+1,'DGI TABLE'!$A$2:$A$91,'DGI TABLE'!$C$2:$C$91)</f>
        <v>0.192086326710917</v>
      </c>
      <c r="Q13" s="33" t="n">
        <f aca="false">(_xlfn.XLOOKUP(L13+1,'DGI TABLE'!$A$2:$A$91,'DGI TABLE'!$D$2:$D$91)-_xlfn.XLOOKUP(L13+H13,'DGI TABLE'!$A$2:$A$91,'DGI TABLE'!$D$2:$D$91))/_xlfn.XLOOKUP(L13+1,'DGI TABLE'!$A$2:$A$91,'DGI TABLE'!$C$2:$C$91)</f>
        <v>12.719797659777</v>
      </c>
      <c r="R13" s="33" t="n">
        <f aca="false">_xlfn.XLOOKUP(L13,'DGI TABLE'!$A$2:$A$91,'DGI TABLE'!$F$2:$F$91)/_xlfn.XLOOKUP(L13,'DGI TABLE'!$A$2:$A$91,'DGI TABLE'!$C$2:$C$91)</f>
        <v>0.00485577137157463</v>
      </c>
      <c r="S13" s="33" t="n">
        <f aca="false">P13/Q13</f>
        <v>0.0151013665349677</v>
      </c>
      <c r="T13" s="33" t="n">
        <f aca="false">O13+0.03/N13</f>
        <v>0.0352395974081109</v>
      </c>
      <c r="U13" s="33" t="n">
        <f aca="false">MIN(S13,T13)</f>
        <v>0.0151013665349677</v>
      </c>
      <c r="V13" s="33" t="n">
        <f aca="false">(_xlfn.XLOOKUP(L13+K13,'DGI TABLE'!$A$2:$A$91,'DGI TABLE'!$G$2:$G$91)-_xlfn.XLOOKUP(L13+F13,'DGI TABLE'!$A$2:$A$91,'DGI TABLE'!$G$2:$G$91))/_xlfn.XLOOKUP(L13+K13,'DGI TABLE'!$A$2:$A$91,'DGI TABLE'!$C$2:$C$91)</f>
        <v>0.200965559760529</v>
      </c>
      <c r="W13" s="33" t="n">
        <f aca="false">(_xlfn.XLOOKUP(L13+K13,'DGI TABLE'!$A$2:$A$91,'DGI TABLE'!$D$2:$D$91)-_xlfn.XLOOKUP(L13+H13,'DGI TABLE'!$A$2:$A$91,'DGI TABLE'!$D$2:$D$91))/_xlfn.XLOOKUP(L13+K13,'DGI TABLE'!$A$2:$A$91,'DGI TABLE'!$C$2:$C$91)</f>
        <v>11.2830816802364</v>
      </c>
      <c r="X13" s="33" t="n">
        <f aca="false">G13*(V13-(U13*W13))</f>
        <v>2446.04861306394</v>
      </c>
      <c r="Y13" s="32"/>
    </row>
    <row r="14" customFormat="false" ht="14.25" hidden="false" customHeight="false" outlineLevel="0" collapsed="false">
      <c r="A14" s="33" t="n">
        <v>13</v>
      </c>
      <c r="B14" s="33" t="s">
        <v>187</v>
      </c>
      <c r="C14" s="33" t="s">
        <v>217</v>
      </c>
      <c r="D14" s="33" t="n">
        <v>43</v>
      </c>
      <c r="E14" s="33" t="s">
        <v>38</v>
      </c>
      <c r="F14" s="33" t="n">
        <v>5</v>
      </c>
      <c r="G14" s="33" t="n">
        <v>60000</v>
      </c>
      <c r="H14" s="33" t="n">
        <v>4</v>
      </c>
      <c r="I14" s="33" t="s">
        <v>216</v>
      </c>
      <c r="J14" s="33" t="n">
        <v>0</v>
      </c>
      <c r="K14" s="33" t="n">
        <v>3</v>
      </c>
      <c r="L14" s="33" t="n">
        <f aca="false">IF(C14="F",D14-3,D14)</f>
        <v>43</v>
      </c>
      <c r="M14" s="33" t="n">
        <f aca="false">(_xlfn.XLOOKUP(L14,'DGI TABLE'!$A$2:$A$91,'DGI TABLE'!$G$2:$G$91)-_xlfn.XLOOKUP(L14+F14,'DGI TABLE'!$A$2:$A$91,'DGI TABLE'!$G$2:$G$91)+_xlfn.XLOOKUP(L14+F14,'DGI TABLE'!$A$2:$A$91,'DGI TABLE'!$C$2:$C$91))/_xlfn.XLOOKUP(L14,'DGI TABLE'!$A$2:$A$91,'DGI TABLE'!$C$2:$C$91)</f>
        <v>0.823234551023173</v>
      </c>
      <c r="N14" s="33" t="n">
        <f aca="false">(_xlfn.XLOOKUP(L14,'DGI TABLE'!$A$2:$A$91,'DGI TABLE'!$D$2:$D$91)-_xlfn.XLOOKUP(L14+H14,'DGI TABLE'!$A$2:$A$91,'DGI TABLE'!$D$2:$D$91))/_xlfn.XLOOKUP(L14,'DGI TABLE'!$A$2:$A$91,'DGI TABLE'!$C$2:$C$91)</f>
        <v>3.7547866735528</v>
      </c>
      <c r="O14" s="33" t="n">
        <f aca="false">M14/N14</f>
        <v>0.219249353584241</v>
      </c>
      <c r="P14" s="33" t="n">
        <f aca="false">(_xlfn.XLOOKUP(L14+1,'DGI TABLE'!$A$2:$A$91,'DGI TABLE'!$G$2:$G$91)-_xlfn.XLOOKUP(L14+F14,'DGI TABLE'!$A$2:$A$91,'DGI TABLE'!$G$2:$G$91))/_xlfn.XLOOKUP(L14+1,'DGI TABLE'!$A$2:$A$91,'DGI TABLE'!$C$2:$C$91)</f>
        <v>0.0158609070545392</v>
      </c>
      <c r="Q14" s="33" t="n">
        <f aca="false">(_xlfn.XLOOKUP(L14+1,'DGI TABLE'!$A$2:$A$91,'DGI TABLE'!$D$2:$D$91)-_xlfn.XLOOKUP(L14+H14,'DGI TABLE'!$A$2:$A$91,'DGI TABLE'!$D$2:$D$91))/_xlfn.XLOOKUP(L14+1,'DGI TABLE'!$A$2:$A$91,'DGI TABLE'!$C$2:$C$91)</f>
        <v>2.87501183928022</v>
      </c>
      <c r="R14" s="33" t="n">
        <f aca="false">_xlfn.XLOOKUP(L14,'DGI TABLE'!$A$2:$A$91,'DGI TABLE'!$F$2:$F$91)/_xlfn.XLOOKUP(L14,'DGI TABLE'!$A$2:$A$91,'DGI TABLE'!$C$2:$C$91)</f>
        <v>0.00335576665055383</v>
      </c>
      <c r="S14" s="33" t="n">
        <f aca="false">P14/Q14</f>
        <v>0.00551681451806129</v>
      </c>
      <c r="T14" s="33" t="n">
        <f aca="false">O14+0.03/N14</f>
        <v>0.227239155031899</v>
      </c>
      <c r="U14" s="33" t="n">
        <f aca="false">MIN(S14,T14)</f>
        <v>0.00551681451806129</v>
      </c>
      <c r="V14" s="33" t="n">
        <f aca="false">(_xlfn.XLOOKUP(L14+K14,'DGI TABLE'!$A$2:$A$91,'DGI TABLE'!$G$2:$G$91)-_xlfn.XLOOKUP(L14+F14,'DGI TABLE'!$A$2:$A$91,'DGI TABLE'!$G$2:$G$91))/_xlfn.XLOOKUP(L14+K14,'DGI TABLE'!$A$2:$A$91,'DGI TABLE'!$C$2:$C$91)</f>
        <v>0.00907060866317608</v>
      </c>
      <c r="W14" s="33" t="n">
        <f aca="false">(_xlfn.XLOOKUP(L14+K14,'DGI TABLE'!$A$2:$A$91,'DGI TABLE'!$D$2:$D$91)-_xlfn.XLOOKUP(L14+H14,'DGI TABLE'!$A$2:$A$91,'DGI TABLE'!$D$2:$D$91))/_xlfn.XLOOKUP(L14+K14,'DGI TABLE'!$A$2:$A$91,'DGI TABLE'!$C$2:$C$91)</f>
        <v>1</v>
      </c>
      <c r="X14" s="33" t="n">
        <f aca="false">G14*(V14-(U14*W14))</f>
        <v>213.227648706887</v>
      </c>
      <c r="Y14" s="32"/>
    </row>
    <row r="15" customFormat="false" ht="14.25" hidden="false" customHeight="false" outlineLevel="0" collapsed="false">
      <c r="A15" s="33" t="n">
        <v>14</v>
      </c>
      <c r="B15" s="33" t="s">
        <v>190</v>
      </c>
      <c r="C15" s="33" t="s">
        <v>215</v>
      </c>
      <c r="D15" s="33" t="n">
        <v>53</v>
      </c>
      <c r="E15" s="33" t="s">
        <v>38</v>
      </c>
      <c r="F15" s="33" t="n">
        <v>10</v>
      </c>
      <c r="G15" s="33" t="n">
        <v>175000</v>
      </c>
      <c r="H15" s="33" t="n">
        <v>3</v>
      </c>
      <c r="I15" s="33" t="s">
        <v>216</v>
      </c>
      <c r="J15" s="33" t="n">
        <v>0</v>
      </c>
      <c r="K15" s="33" t="n">
        <v>2</v>
      </c>
      <c r="L15" s="33" t="n">
        <f aca="false">IF(C15="F",D15-3,D15)</f>
        <v>50</v>
      </c>
      <c r="M15" s="33" t="n">
        <f aca="false">(_xlfn.XLOOKUP(L15,'DGI TABLE'!$A$2:$A$91,'DGI TABLE'!$G$2:$G$91)-_xlfn.XLOOKUP(L15+F15,'DGI TABLE'!$A$2:$A$91,'DGI TABLE'!$G$2:$G$91)+_xlfn.XLOOKUP(L15+F15,'DGI TABLE'!$A$2:$A$91,'DGI TABLE'!$C$2:$C$91))/_xlfn.XLOOKUP(L15,'DGI TABLE'!$A$2:$A$91,'DGI TABLE'!$C$2:$C$91)</f>
        <v>0.686750751642048</v>
      </c>
      <c r="N15" s="33" t="n">
        <f aca="false">(_xlfn.XLOOKUP(L15,'DGI TABLE'!$A$2:$A$91,'DGI TABLE'!$D$2:$D$91)-_xlfn.XLOOKUP(L15+H15,'DGI TABLE'!$A$2:$A$91,'DGI TABLE'!$D$2:$D$91))/_xlfn.XLOOKUP(L15,'DGI TABLE'!$A$2:$A$91,'DGI TABLE'!$C$2:$C$91)</f>
        <v>2.86702446907102</v>
      </c>
      <c r="O15" s="33" t="n">
        <f aca="false">M15/N15</f>
        <v>0.239534318262924</v>
      </c>
      <c r="P15" s="33" t="n">
        <f aca="false">(_xlfn.XLOOKUP(L15+1,'DGI TABLE'!$A$2:$A$91,'DGI TABLE'!$G$2:$G$91)-_xlfn.XLOOKUP(L15+F15,'DGI TABLE'!$A$2:$A$91,'DGI TABLE'!$G$2:$G$91))/_xlfn.XLOOKUP(L15+1,'DGI TABLE'!$A$2:$A$91,'DGI TABLE'!$C$2:$C$91)</f>
        <v>0.0728666715446397</v>
      </c>
      <c r="Q15" s="33" t="n">
        <f aca="false">(_xlfn.XLOOKUP(L15+1,'DGI TABLE'!$A$2:$A$91,'DGI TABLE'!$D$2:$D$91)-_xlfn.XLOOKUP(L15+H15,'DGI TABLE'!$A$2:$A$91,'DGI TABLE'!$D$2:$D$91))/_xlfn.XLOOKUP(L15+1,'DGI TABLE'!$A$2:$A$91,'DGI TABLE'!$C$2:$C$91)</f>
        <v>1.95460581275015</v>
      </c>
      <c r="R15" s="33" t="n">
        <f aca="false">_xlfn.XLOOKUP(L15,'DGI TABLE'!$A$2:$A$91,'DGI TABLE'!$F$2:$F$91)/_xlfn.XLOOKUP(L15,'DGI TABLE'!$A$2:$A$91,'DGI TABLE'!$C$2:$C$91)</f>
        <v>0.00634615306262206</v>
      </c>
      <c r="S15" s="33" t="n">
        <f aca="false">P15/Q15</f>
        <v>0.0372794714255534</v>
      </c>
      <c r="T15" s="33" t="n">
        <f aca="false">O15+0.03/N15</f>
        <v>0.249998128503692</v>
      </c>
      <c r="U15" s="33" t="n">
        <f aca="false">MIN(S15,T15)</f>
        <v>0.0372794714255534</v>
      </c>
      <c r="V15" s="33" t="n">
        <f aca="false">(_xlfn.XLOOKUP(L15+K15,'DGI TABLE'!$A$2:$A$91,'DGI TABLE'!$G$2:$G$91)-_xlfn.XLOOKUP(L15+F15,'DGI TABLE'!$A$2:$A$91,'DGI TABLE'!$G$2:$G$91))/_xlfn.XLOOKUP(L15+K15,'DGI TABLE'!$A$2:$A$91,'DGI TABLE'!$C$2:$C$91)</f>
        <v>0.0690693211286104</v>
      </c>
      <c r="W15" s="33" t="n">
        <f aca="false">(_xlfn.XLOOKUP(L15+K15,'DGI TABLE'!$A$2:$A$91,'DGI TABLE'!$D$2:$D$91)-_xlfn.XLOOKUP(L15+H15,'DGI TABLE'!$A$2:$A$91,'DGI TABLE'!$D$2:$D$91))/_xlfn.XLOOKUP(L15+K15,'DGI TABLE'!$A$2:$A$91,'DGI TABLE'!$C$2:$C$91)</f>
        <v>0.999999914070612</v>
      </c>
      <c r="X15" s="33" t="n">
        <f aca="false">G15*(V15-(U15*W15))</f>
        <v>5563.22425863035</v>
      </c>
      <c r="Y15" s="32"/>
    </row>
    <row r="16" customFormat="false" ht="14.25" hidden="false" customHeight="false" outlineLevel="0" collapsed="false">
      <c r="A16" s="33" t="n">
        <v>15</v>
      </c>
      <c r="B16" s="33" t="s">
        <v>89</v>
      </c>
      <c r="C16" s="33" t="s">
        <v>215</v>
      </c>
      <c r="D16" s="33" t="n">
        <v>45</v>
      </c>
      <c r="E16" s="33" t="s">
        <v>40</v>
      </c>
      <c r="F16" s="33" t="n">
        <v>25</v>
      </c>
      <c r="G16" s="33" t="n">
        <v>75000</v>
      </c>
      <c r="H16" s="33" t="n">
        <v>20</v>
      </c>
      <c r="I16" s="33" t="s">
        <v>218</v>
      </c>
      <c r="J16" s="33" t="n">
        <v>0.05</v>
      </c>
      <c r="K16" s="33" t="n">
        <v>8</v>
      </c>
      <c r="L16" s="33" t="n">
        <f aca="false">IF(C16="F",D16-3,D16)</f>
        <v>42</v>
      </c>
      <c r="M16" s="33" t="n">
        <f aca="false">(_xlfn.XLOOKUP(L16,'DGI TABLE'!$A$2:$A$91,'DGI TABLE'!$G$2:$G$91)-_xlfn.XLOOKUP(L16+F16,'DGI TABLE'!$A$2:$A$91,'DGI TABLE'!$G$2:$G$91)+_xlfn.XLOOKUP(L16+F16,'DGI TABLE'!$A$2:$A$91,'DGI TABLE'!$C$2:$C$91))/_xlfn.XLOOKUP(L16,'DGI TABLE'!$A$2:$A$91,'DGI TABLE'!$C$2:$C$91)</f>
        <v>0.414793925609946</v>
      </c>
      <c r="N16" s="33" t="n">
        <f aca="false">(_xlfn.XLOOKUP(L16,'DGI TABLE'!$A$2:$A$91,'DGI TABLE'!$D$2:$D$91)-_xlfn.XLOOKUP(L16+H16,'DGI TABLE'!$A$2:$A$91,'DGI TABLE'!$D$2:$D$91))/_xlfn.XLOOKUP(L16,'DGI TABLE'!$A$2:$A$91,'DGI TABLE'!$C$2:$C$91)</f>
        <v>13.4929486369117</v>
      </c>
      <c r="O16" s="33" t="n">
        <f aca="false">M16/N16</f>
        <v>0.0307415329867352</v>
      </c>
      <c r="P16" s="33" t="n">
        <f aca="false">(_xlfn.XLOOKUP(L16+1,'DGI TABLE'!$A$2:$A$91,'DGI TABLE'!$G$2:$G$91)-_xlfn.XLOOKUP(L16+F16,'DGI TABLE'!$A$2:$A$91,'DGI TABLE'!$G$2:$G$91))/_xlfn.XLOOKUP(L16+1,'DGI TABLE'!$A$2:$A$91,'DGI TABLE'!$C$2:$C$91)</f>
        <v>0.132024409766281</v>
      </c>
      <c r="Q16" s="33" t="n">
        <f aca="false">(_xlfn.XLOOKUP(L16+1,'DGI TABLE'!$A$2:$A$91,'DGI TABLE'!$D$2:$D$91)-_xlfn.XLOOKUP(L16+H16,'DGI TABLE'!$A$2:$A$91,'DGI TABLE'!$D$2:$D$91))/_xlfn.XLOOKUP(L16+1,'DGI TABLE'!$A$2:$A$91,'DGI TABLE'!$C$2:$C$91)</f>
        <v>13.0342458953322</v>
      </c>
      <c r="R16" s="33" t="n">
        <f aca="false">_xlfn.XLOOKUP(L16,'DGI TABLE'!$A$2:$A$91,'DGI TABLE'!$F$2:$F$91)/_xlfn.XLOOKUP(L16,'DGI TABLE'!$A$2:$A$91,'DGI TABLE'!$C$2:$C$91)</f>
        <v>0.00306730552618788</v>
      </c>
      <c r="S16" s="33" t="n">
        <f aca="false">P16/Q16</f>
        <v>0.0101290408993712</v>
      </c>
      <c r="T16" s="33" t="n">
        <f aca="false">O16+0.03/N16</f>
        <v>0.0329649165337482</v>
      </c>
      <c r="U16" s="33" t="n">
        <f aca="false">MIN(S16,T16)</f>
        <v>0.0101290408993712</v>
      </c>
      <c r="V16" s="33" t="n">
        <f aca="false">(_xlfn.XLOOKUP(L16+K16,'DGI TABLE'!$A$2:$A$91,'DGI TABLE'!$G$2:$G$91)-_xlfn.XLOOKUP(L16+F16,'DGI TABLE'!$A$2:$A$91,'DGI TABLE'!$G$2:$G$91))/_xlfn.XLOOKUP(L16+K16,'DGI TABLE'!$A$2:$A$91,'DGI TABLE'!$C$2:$C$91)</f>
        <v>0.142423059528671</v>
      </c>
      <c r="W16" s="33" t="n">
        <f aca="false">(_xlfn.XLOOKUP(L16+K16,'DGI TABLE'!$A$2:$A$91,'DGI TABLE'!$D$2:$D$91)-_xlfn.XLOOKUP(L16+H16,'DGI TABLE'!$A$2:$A$91,'DGI TABLE'!$D$2:$D$91))/_xlfn.XLOOKUP(L16+K16,'DGI TABLE'!$A$2:$A$91,'DGI TABLE'!$C$2:$C$91)</f>
        <v>9.33390912472917</v>
      </c>
      <c r="X16" s="33" t="n">
        <f aca="false">G16*((((1+J16)^(K16-1))*V16)-(U16*W16))</f>
        <v>7939.49999875454</v>
      </c>
      <c r="Y16" s="32"/>
    </row>
    <row r="17" customFormat="false" ht="14.25" hidden="false" customHeight="false" outlineLevel="0" collapsed="false">
      <c r="A17" s="33" t="n">
        <v>16</v>
      </c>
      <c r="B17" s="33" t="s">
        <v>85</v>
      </c>
      <c r="C17" s="33" t="s">
        <v>217</v>
      </c>
      <c r="D17" s="33" t="n">
        <v>49</v>
      </c>
      <c r="E17" s="33" t="s">
        <v>40</v>
      </c>
      <c r="F17" s="33" t="n">
        <v>15</v>
      </c>
      <c r="G17" s="33" t="n">
        <v>60000</v>
      </c>
      <c r="H17" s="33" t="n">
        <v>10</v>
      </c>
      <c r="I17" s="33" t="s">
        <v>218</v>
      </c>
      <c r="J17" s="33" t="n">
        <v>0.05</v>
      </c>
      <c r="K17" s="33" t="n">
        <v>4</v>
      </c>
      <c r="L17" s="33" t="n">
        <f aca="false">IF(C17="F",D17-3,D17)</f>
        <v>49</v>
      </c>
      <c r="M17" s="33" t="n">
        <f aca="false">(_xlfn.XLOOKUP(L17,'DGI TABLE'!$A$2:$A$91,'DGI TABLE'!$G$2:$G$91)-_xlfn.XLOOKUP(L17+F17,'DGI TABLE'!$A$2:$A$91,'DGI TABLE'!$G$2:$G$91)+_xlfn.XLOOKUP(L17+F17,'DGI TABLE'!$A$2:$A$91,'DGI TABLE'!$C$2:$C$91))/_xlfn.XLOOKUP(L17,'DGI TABLE'!$A$2:$A$91,'DGI TABLE'!$C$2:$C$91)</f>
        <v>0.579291700455535</v>
      </c>
      <c r="N17" s="33" t="n">
        <f aca="false">(_xlfn.XLOOKUP(L17,'DGI TABLE'!$A$2:$A$91,'DGI TABLE'!$D$2:$D$91)-_xlfn.XLOOKUP(L17+H17,'DGI TABLE'!$A$2:$A$91,'DGI TABLE'!$D$2:$D$91))/_xlfn.XLOOKUP(L17,'DGI TABLE'!$A$2:$A$91,'DGI TABLE'!$C$2:$C$91)</f>
        <v>8.1683884917181</v>
      </c>
      <c r="O17" s="33" t="n">
        <f aca="false">M17/N17</f>
        <v>0.0709187254062263</v>
      </c>
      <c r="P17" s="33" t="n">
        <f aca="false">(_xlfn.XLOOKUP(L17+1,'DGI TABLE'!$A$2:$A$91,'DGI TABLE'!$G$2:$G$91)-_xlfn.XLOOKUP(L17+F17,'DGI TABLE'!$A$2:$A$91,'DGI TABLE'!$G$2:$G$91))/_xlfn.XLOOKUP(L17+1,'DGI TABLE'!$A$2:$A$91,'DGI TABLE'!$C$2:$C$91)</f>
        <v>0.112149373440968</v>
      </c>
      <c r="Q17" s="33" t="n">
        <f aca="false">(_xlfn.XLOOKUP(L17+1,'DGI TABLE'!$A$2:$A$91,'DGI TABLE'!$D$2:$D$91)-_xlfn.XLOOKUP(L17+H17,'DGI TABLE'!$A$2:$A$91,'DGI TABLE'!$D$2:$D$91))/_xlfn.XLOOKUP(L17+1,'DGI TABLE'!$A$2:$A$91,'DGI TABLE'!$C$2:$C$91)</f>
        <v>7.50035164906802</v>
      </c>
      <c r="R17" s="33" t="n">
        <f aca="false">_xlfn.XLOOKUP(L17,'DGI TABLE'!$A$2:$A$91,'DGI TABLE'!$F$2:$F$91)/_xlfn.XLOOKUP(L17,'DGI TABLE'!$A$2:$A$91,'DGI TABLE'!$C$2:$C$91)</f>
        <v>0.00579807615190242</v>
      </c>
      <c r="S17" s="33" t="n">
        <f aca="false">P17/Q17</f>
        <v>0.0149525487188195</v>
      </c>
      <c r="T17" s="33" t="n">
        <f aca="false">O17+0.03/N17</f>
        <v>0.0745914204586735</v>
      </c>
      <c r="U17" s="33" t="n">
        <f aca="false">MIN(S17,T17)</f>
        <v>0.0149525487188195</v>
      </c>
      <c r="V17" s="33" t="n">
        <f aca="false">(_xlfn.XLOOKUP(L17+K17,'DGI TABLE'!$A$2:$A$91,'DGI TABLE'!$G$2:$G$91)-_xlfn.XLOOKUP(L17+F17,'DGI TABLE'!$A$2:$A$91,'DGI TABLE'!$G$2:$G$91))/_xlfn.XLOOKUP(L17+K17,'DGI TABLE'!$A$2:$A$91,'DGI TABLE'!$C$2:$C$91)</f>
        <v>0.106060027922436</v>
      </c>
      <c r="W17" s="33" t="n">
        <f aca="false">(_xlfn.XLOOKUP(L17+K17,'DGI TABLE'!$A$2:$A$91,'DGI TABLE'!$D$2:$D$91)-_xlfn.XLOOKUP(L17+H17,'DGI TABLE'!$A$2:$A$91,'DGI TABLE'!$D$2:$D$91))/_xlfn.XLOOKUP(L17+K17,'DGI TABLE'!$A$2:$A$91,'DGI TABLE'!$C$2:$C$91)</f>
        <v>5.32667223169695</v>
      </c>
      <c r="X17" s="33" t="n">
        <f aca="false">G17*((((1+J17)^(K17-1))*V17)-(U17*W17))</f>
        <v>2587.8248262047</v>
      </c>
      <c r="Y17" s="32"/>
    </row>
    <row r="18" customFormat="false" ht="14.25" hidden="false" customHeight="false" outlineLevel="0" collapsed="false">
      <c r="A18" s="33" t="n">
        <v>17</v>
      </c>
      <c r="B18" s="33" t="s">
        <v>97</v>
      </c>
      <c r="C18" s="33" t="s">
        <v>217</v>
      </c>
      <c r="D18" s="33" t="n">
        <v>59</v>
      </c>
      <c r="E18" s="33" t="s">
        <v>40</v>
      </c>
      <c r="F18" s="33" t="n">
        <v>10</v>
      </c>
      <c r="G18" s="33" t="n">
        <v>75000</v>
      </c>
      <c r="H18" s="33" t="n">
        <v>5</v>
      </c>
      <c r="I18" s="33" t="s">
        <v>218</v>
      </c>
      <c r="J18" s="33" t="n">
        <v>0.05</v>
      </c>
      <c r="K18" s="33" t="n">
        <v>8</v>
      </c>
      <c r="L18" s="33" t="n">
        <f aca="false">IF(C18="F",D18-3,D18)</f>
        <v>59</v>
      </c>
      <c r="M18" s="33" t="n">
        <f aca="false">(_xlfn.XLOOKUP(L18,'DGI TABLE'!$A$2:$A$91,'DGI TABLE'!$G$2:$G$91)-_xlfn.XLOOKUP(L18+F18,'DGI TABLE'!$A$2:$A$91,'DGI TABLE'!$G$2:$G$91)+_xlfn.XLOOKUP(L18+F18,'DGI TABLE'!$A$2:$A$91,'DGI TABLE'!$C$2:$C$91))/_xlfn.XLOOKUP(L18,'DGI TABLE'!$A$2:$A$91,'DGI TABLE'!$C$2:$C$91)</f>
        <v>0.697858982862983</v>
      </c>
      <c r="N18" s="33" t="n">
        <f aca="false">(_xlfn.XLOOKUP(L18,'DGI TABLE'!$A$2:$A$91,'DGI TABLE'!$D$2:$D$91)-_xlfn.XLOOKUP(L18+H18,'DGI TABLE'!$A$2:$A$91,'DGI TABLE'!$D$2:$D$91))/_xlfn.XLOOKUP(L18,'DGI TABLE'!$A$2:$A$91,'DGI TABLE'!$C$2:$C$91)</f>
        <v>4.49956008246827</v>
      </c>
      <c r="O18" s="33" t="n">
        <f aca="false">M18/N18</f>
        <v>0.155094935965422</v>
      </c>
      <c r="P18" s="33" t="n">
        <f aca="false">(_xlfn.XLOOKUP(L18+1,'DGI TABLE'!$A$2:$A$91,'DGI TABLE'!$G$2:$G$91)-_xlfn.XLOOKUP(L18+F18,'DGI TABLE'!$A$2:$A$91,'DGI TABLE'!$G$2:$G$91))/_xlfn.XLOOKUP(L18+1,'DGI TABLE'!$A$2:$A$91,'DGI TABLE'!$C$2:$C$91)</f>
        <v>0.144359502375021</v>
      </c>
      <c r="Q18" s="33" t="n">
        <f aca="false">(_xlfn.XLOOKUP(L18+1,'DGI TABLE'!$A$2:$A$91,'DGI TABLE'!$D$2:$D$91)-_xlfn.XLOOKUP(L18+H18,'DGI TABLE'!$A$2:$A$91,'DGI TABLE'!$D$2:$D$91))/_xlfn.XLOOKUP(L18+1,'DGI TABLE'!$A$2:$A$91,'DGI TABLE'!$C$2:$C$91)</f>
        <v>3.69050821440909</v>
      </c>
      <c r="R18" s="33" t="n">
        <f aca="false">_xlfn.XLOOKUP(L18,'DGI TABLE'!$A$2:$A$91,'DGI TABLE'!$F$2:$F$91)/_xlfn.XLOOKUP(L18,'DGI TABLE'!$A$2:$A$91,'DGI TABLE'!$C$2:$C$91)</f>
        <v>0.0132788434882535</v>
      </c>
      <c r="S18" s="33" t="n">
        <f aca="false">P18/Q18</f>
        <v>0.0391164289545242</v>
      </c>
      <c r="T18" s="33" t="n">
        <f aca="false">O18+0.03/N18</f>
        <v>0.161762254425484</v>
      </c>
      <c r="U18" s="33" t="n">
        <f aca="false">MIN(S18,T18)</f>
        <v>0.0391164289545242</v>
      </c>
      <c r="V18" s="33" t="n">
        <f aca="false">(_xlfn.XLOOKUP(L18+K18,'DGI TABLE'!$A$2:$A$91,'DGI TABLE'!$G$2:$G$91)-_xlfn.XLOOKUP(L18+F18,'DGI TABLE'!$A$2:$A$91,'DGI TABLE'!$G$2:$G$91))/_xlfn.XLOOKUP(L18+K18,'DGI TABLE'!$A$2:$A$91,'DGI TABLE'!$C$2:$C$91)</f>
        <v>0.0536337497818927</v>
      </c>
      <c r="W18" s="33" t="n">
        <f aca="false">(_xlfn.XLOOKUP(L18+K18,'DGI TABLE'!$A$2:$A$91,'DGI TABLE'!$D$2:$D$91)-_xlfn.XLOOKUP(L18+H18,'DGI TABLE'!$A$2:$A$91,'DGI TABLE'!$D$2:$D$91))/_xlfn.XLOOKUP(L18+K18,'DGI TABLE'!$A$2:$A$91,'DGI TABLE'!$C$2:$C$91)</f>
        <v>-3.40798932092476</v>
      </c>
      <c r="X18" s="33" t="n">
        <f aca="false">G18*((((1+J18)^(K18-1))*V18)-(U18*W18))</f>
        <v>15658.2333102354</v>
      </c>
      <c r="Y18" s="32"/>
    </row>
    <row r="19" customFormat="false" ht="14.25" hidden="false" customHeight="false" outlineLevel="0" collapsed="false">
      <c r="A19" s="33" t="n">
        <v>18</v>
      </c>
      <c r="B19" s="33" t="s">
        <v>110</v>
      </c>
      <c r="C19" s="33" t="s">
        <v>215</v>
      </c>
      <c r="D19" s="33" t="n">
        <v>44</v>
      </c>
      <c r="E19" s="33" t="s">
        <v>40</v>
      </c>
      <c r="F19" s="33" t="n">
        <v>5</v>
      </c>
      <c r="G19" s="33" t="n">
        <v>50000</v>
      </c>
      <c r="H19" s="33" t="n">
        <v>3</v>
      </c>
      <c r="I19" s="33" t="s">
        <v>218</v>
      </c>
      <c r="J19" s="33" t="n">
        <v>0.05</v>
      </c>
      <c r="K19" s="33" t="n">
        <v>2</v>
      </c>
      <c r="L19" s="33" t="n">
        <f aca="false">IF(C19="F",D19-3,D19)</f>
        <v>41</v>
      </c>
      <c r="M19" s="33" t="n">
        <f aca="false">(_xlfn.XLOOKUP(L19,'DGI TABLE'!$A$2:$A$91,'DGI TABLE'!$G$2:$G$91)-_xlfn.XLOOKUP(L19+F19,'DGI TABLE'!$A$2:$A$91,'DGI TABLE'!$G$2:$G$91)+_xlfn.XLOOKUP(L19+F19,'DGI TABLE'!$A$2:$A$91,'DGI TABLE'!$C$2:$C$91))/_xlfn.XLOOKUP(L19,'DGI TABLE'!$A$2:$A$91,'DGI TABLE'!$C$2:$C$91)</f>
        <v>0.823019908034652</v>
      </c>
      <c r="N19" s="33" t="n">
        <f aca="false">(_xlfn.XLOOKUP(L19,'DGI TABLE'!$A$2:$A$91,'DGI TABLE'!$D$2:$D$91)-_xlfn.XLOOKUP(L19+H19,'DGI TABLE'!$A$2:$A$91,'DGI TABLE'!$D$2:$D$91))/_xlfn.XLOOKUP(L19,'DGI TABLE'!$A$2:$A$91,'DGI TABLE'!$C$2:$C$91)</f>
        <v>2.8776276532274</v>
      </c>
      <c r="O19" s="33" t="n">
        <f aca="false">M19/N19</f>
        <v>0.286006393881987</v>
      </c>
      <c r="P19" s="33" t="n">
        <f aca="false">(_xlfn.XLOOKUP(L19+1,'DGI TABLE'!$A$2:$A$91,'DGI TABLE'!$G$2:$G$91)-_xlfn.XLOOKUP(L19+F19,'DGI TABLE'!$A$2:$A$91,'DGI TABLE'!$G$2:$G$91))/_xlfn.XLOOKUP(L19+1,'DGI TABLE'!$A$2:$A$91,'DGI TABLE'!$C$2:$C$91)</f>
        <v>0.0132099819066386</v>
      </c>
      <c r="Q19" s="33" t="n">
        <f aca="false">(_xlfn.XLOOKUP(L19+1,'DGI TABLE'!$A$2:$A$91,'DGI TABLE'!$D$2:$D$91)-_xlfn.XLOOKUP(L19+H19,'DGI TABLE'!$A$2:$A$91,'DGI TABLE'!$D$2:$D$91))/_xlfn.XLOOKUP(L19+1,'DGI TABLE'!$A$2:$A$91,'DGI TABLE'!$C$2:$C$91)</f>
        <v>1.95847114879011</v>
      </c>
      <c r="R19" s="33" t="n">
        <f aca="false">_xlfn.XLOOKUP(L19,'DGI TABLE'!$A$2:$A$91,'DGI TABLE'!$F$2:$F$91)/_xlfn.XLOOKUP(L19,'DGI TABLE'!$A$2:$A$91,'DGI TABLE'!$C$2:$C$91)</f>
        <v>0.00281730978377702</v>
      </c>
      <c r="S19" s="33" t="n">
        <f aca="false">P19/Q19</f>
        <v>0.00674504800073229</v>
      </c>
      <c r="T19" s="33" t="n">
        <f aca="false">O19+0.03/N19</f>
        <v>0.296431648159187</v>
      </c>
      <c r="U19" s="33" t="n">
        <f aca="false">MIN(S19,T19)</f>
        <v>0.00674504800073229</v>
      </c>
      <c r="V19" s="33" t="n">
        <f aca="false">(_xlfn.XLOOKUP(L19+K19,'DGI TABLE'!$A$2:$A$91,'DGI TABLE'!$G$2:$G$91)-_xlfn.XLOOKUP(L19+F19,'DGI TABLE'!$A$2:$A$91,'DGI TABLE'!$G$2:$G$91))/_xlfn.XLOOKUP(L19+K19,'DGI TABLE'!$A$2:$A$91,'DGI TABLE'!$C$2:$C$91)</f>
        <v>0.0105821405195701</v>
      </c>
      <c r="W19" s="33" t="n">
        <f aca="false">(_xlfn.XLOOKUP(L19+K19,'DGI TABLE'!$A$2:$A$91,'DGI TABLE'!$D$2:$D$91)-_xlfn.XLOOKUP(L19+H19,'DGI TABLE'!$A$2:$A$91,'DGI TABLE'!$D$2:$D$91))/_xlfn.XLOOKUP(L19+K19,'DGI TABLE'!$A$2:$A$91,'DGI TABLE'!$C$2:$C$91)</f>
        <v>1</v>
      </c>
      <c r="X19" s="33" t="n">
        <f aca="false">G19*((((1+J19)^(K19-1))*V19)-(U19*W19))</f>
        <v>218.309977240818</v>
      </c>
      <c r="Y19" s="32"/>
    </row>
    <row r="20" customFormat="false" ht="14.25" hidden="false" customHeight="false" outlineLevel="0" collapsed="false">
      <c r="A20" s="33" t="n">
        <v>19</v>
      </c>
      <c r="B20" s="33" t="s">
        <v>105</v>
      </c>
      <c r="C20" s="33" t="s">
        <v>217</v>
      </c>
      <c r="D20" s="33" t="n">
        <v>51</v>
      </c>
      <c r="E20" s="33" t="s">
        <v>40</v>
      </c>
      <c r="F20" s="33" t="n">
        <v>15</v>
      </c>
      <c r="G20" s="33" t="n">
        <v>125000</v>
      </c>
      <c r="H20" s="33" t="n">
        <v>10</v>
      </c>
      <c r="I20" s="33" t="s">
        <v>218</v>
      </c>
      <c r="J20" s="33" t="n">
        <v>0.05</v>
      </c>
      <c r="K20" s="33" t="n">
        <v>5</v>
      </c>
      <c r="L20" s="33" t="n">
        <f aca="false">IF(C20="F",D20-3,D20)</f>
        <v>51</v>
      </c>
      <c r="M20" s="33" t="n">
        <f aca="false">(_xlfn.XLOOKUP(L20,'DGI TABLE'!$A$2:$A$91,'DGI TABLE'!$G$2:$G$91)-_xlfn.XLOOKUP(L20+F20,'DGI TABLE'!$A$2:$A$91,'DGI TABLE'!$G$2:$G$91)+_xlfn.XLOOKUP(L20+F20,'DGI TABLE'!$A$2:$A$91,'DGI TABLE'!$C$2:$C$91))/_xlfn.XLOOKUP(L20,'DGI TABLE'!$A$2:$A$91,'DGI TABLE'!$C$2:$C$91)</f>
        <v>0.583413863636811</v>
      </c>
      <c r="N20" s="33" t="n">
        <f aca="false">(_xlfn.XLOOKUP(L20,'DGI TABLE'!$A$2:$A$91,'DGI TABLE'!$D$2:$D$91)-_xlfn.XLOOKUP(L20+H20,'DGI TABLE'!$A$2:$A$91,'DGI TABLE'!$D$2:$D$91))/_xlfn.XLOOKUP(L20,'DGI TABLE'!$A$2:$A$91,'DGI TABLE'!$C$2:$C$91)</f>
        <v>8.11908220390759</v>
      </c>
      <c r="O20" s="33" t="n">
        <f aca="false">M20/N20</f>
        <v>0.0718571199286569</v>
      </c>
      <c r="P20" s="33" t="n">
        <f aca="false">(_xlfn.XLOOKUP(L20+1,'DGI TABLE'!$A$2:$A$91,'DGI TABLE'!$G$2:$G$91)-_xlfn.XLOOKUP(L20+F20,'DGI TABLE'!$A$2:$A$91,'DGI TABLE'!$G$2:$G$91))/_xlfn.XLOOKUP(L20+1,'DGI TABLE'!$A$2:$A$91,'DGI TABLE'!$C$2:$C$91)</f>
        <v>0.130566862431001</v>
      </c>
      <c r="Q20" s="33" t="n">
        <f aca="false">(_xlfn.XLOOKUP(L20+1,'DGI TABLE'!$A$2:$A$91,'DGI TABLE'!$D$2:$D$91)-_xlfn.XLOOKUP(L20+H20,'DGI TABLE'!$A$2:$A$91,'DGI TABLE'!$D$2:$D$91))/_xlfn.XLOOKUP(L20+1,'DGI TABLE'!$A$2:$A$91,'DGI TABLE'!$C$2:$C$91)</f>
        <v>7.45761446954671</v>
      </c>
      <c r="R20" s="33" t="n">
        <f aca="false">_xlfn.XLOOKUP(L20,'DGI TABLE'!$A$2:$A$91,'DGI TABLE'!$F$2:$F$91)/_xlfn.XLOOKUP(L20,'DGI TABLE'!$A$2:$A$91,'DGI TABLE'!$C$2:$C$91)</f>
        <v>0.00693269611256174</v>
      </c>
      <c r="S20" s="33" t="n">
        <f aca="false">P20/Q20</f>
        <v>0.0175078589761073</v>
      </c>
      <c r="T20" s="33" t="n">
        <f aca="false">O20+0.03/N20</f>
        <v>0.075552118851757</v>
      </c>
      <c r="U20" s="33" t="n">
        <f aca="false">MIN(S20,T20)</f>
        <v>0.0175078589761073</v>
      </c>
      <c r="V20" s="33" t="n">
        <f aca="false">(_xlfn.XLOOKUP(L20+K20,'DGI TABLE'!$A$2:$A$91,'DGI TABLE'!$G$2:$G$91)-_xlfn.XLOOKUP(L20+F20,'DGI TABLE'!$A$2:$A$91,'DGI TABLE'!$G$2:$G$91))/_xlfn.XLOOKUP(L20+K20,'DGI TABLE'!$A$2:$A$91,'DGI TABLE'!$C$2:$C$91)</f>
        <v>0.119096700105536</v>
      </c>
      <c r="W20" s="33" t="n">
        <f aca="false">(_xlfn.XLOOKUP(L20+K20,'DGI TABLE'!$A$2:$A$91,'DGI TABLE'!$D$2:$D$91)-_xlfn.XLOOKUP(L20+H20,'DGI TABLE'!$A$2:$A$91,'DGI TABLE'!$D$2:$D$91))/_xlfn.XLOOKUP(L20+K20,'DGI TABLE'!$A$2:$A$91,'DGI TABLE'!$C$2:$C$91)</f>
        <v>4.52380223029133</v>
      </c>
      <c r="X20" s="33" t="n">
        <f aca="false">G20*((((1+J20)^(K20-1))*V20)-(U20*W20))</f>
        <v>8195.08648111432</v>
      </c>
      <c r="Y20" s="32"/>
    </row>
    <row r="21" customFormat="false" ht="14.25" hidden="false" customHeight="false" outlineLevel="0" collapsed="false">
      <c r="A21" s="33" t="n">
        <v>20</v>
      </c>
      <c r="B21" s="33" t="s">
        <v>146</v>
      </c>
      <c r="C21" s="33" t="s">
        <v>215</v>
      </c>
      <c r="D21" s="33" t="n">
        <v>24</v>
      </c>
      <c r="E21" s="33" t="s">
        <v>40</v>
      </c>
      <c r="F21" s="33" t="n">
        <v>20</v>
      </c>
      <c r="G21" s="33" t="n">
        <v>125000</v>
      </c>
      <c r="H21" s="33" t="n">
        <v>10</v>
      </c>
      <c r="I21" s="33" t="s">
        <v>218</v>
      </c>
      <c r="J21" s="33" t="n">
        <v>0.05</v>
      </c>
      <c r="K21" s="33" t="n">
        <v>2</v>
      </c>
      <c r="L21" s="33" t="n">
        <f aca="false">IF(C21="F",D21-3,D21)</f>
        <v>21</v>
      </c>
      <c r="M21" s="33" t="n">
        <f aca="false">(_xlfn.XLOOKUP(L21,'DGI TABLE'!$A$2:$A$91,'DGI TABLE'!$G$2:$G$91)-_xlfn.XLOOKUP(L21+F21,'DGI TABLE'!$A$2:$A$91,'DGI TABLE'!$G$2:$G$91)+_xlfn.XLOOKUP(L21+F21,'DGI TABLE'!$A$2:$A$91,'DGI TABLE'!$C$2:$C$91))/_xlfn.XLOOKUP(L21,'DGI TABLE'!$A$2:$A$91,'DGI TABLE'!$C$2:$C$91)</f>
        <v>0.465257837463611</v>
      </c>
      <c r="N21" s="33" t="n">
        <f aca="false">(_xlfn.XLOOKUP(L21,'DGI TABLE'!$A$2:$A$91,'DGI TABLE'!$D$2:$D$91)-_xlfn.XLOOKUP(L21+H21,'DGI TABLE'!$A$2:$A$91,'DGI TABLE'!$D$2:$D$91))/_xlfn.XLOOKUP(L21,'DGI TABLE'!$A$2:$A$91,'DGI TABLE'!$C$2:$C$91)</f>
        <v>8.36237667840904</v>
      </c>
      <c r="O21" s="33" t="n">
        <f aca="false">M21/N21</f>
        <v>0.0556370342255532</v>
      </c>
      <c r="P21" s="33" t="n">
        <f aca="false">(_xlfn.XLOOKUP(L21+1,'DGI TABLE'!$A$2:$A$91,'DGI TABLE'!$G$2:$G$91)-_xlfn.XLOOKUP(L21+F21,'DGI TABLE'!$A$2:$A$91,'DGI TABLE'!$G$2:$G$91))/_xlfn.XLOOKUP(L21+1,'DGI TABLE'!$A$2:$A$91,'DGI TABLE'!$C$2:$C$91)</f>
        <v>0.0264656283892675</v>
      </c>
      <c r="Q21" s="33" t="n">
        <f aca="false">(_xlfn.XLOOKUP(L21+1,'DGI TABLE'!$A$2:$A$91,'DGI TABLE'!$D$2:$D$91)-_xlfn.XLOOKUP(L21+H21,'DGI TABLE'!$A$2:$A$91,'DGI TABLE'!$D$2:$D$91))/_xlfn.XLOOKUP(L21+1,'DGI TABLE'!$A$2:$A$91,'DGI TABLE'!$C$2:$C$91)</f>
        <v>7.67275432377116</v>
      </c>
      <c r="R21" s="33" t="n">
        <f aca="false">_xlfn.XLOOKUP(L21,'DGI TABLE'!$A$2:$A$91,'DGI TABLE'!$F$2:$F$91)/_xlfn.XLOOKUP(L21,'DGI TABLE'!$A$2:$A$91,'DGI TABLE'!$C$2:$C$91)</f>
        <v>0.00199038561834698</v>
      </c>
      <c r="S21" s="33" t="n">
        <f aca="false">P21/Q21</f>
        <v>0.00344929959600995</v>
      </c>
      <c r="T21" s="33" t="n">
        <f aca="false">O21+0.03/N21</f>
        <v>0.0592245310764733</v>
      </c>
      <c r="U21" s="33" t="n">
        <f aca="false">MIN(S21,T21)</f>
        <v>0.00344929959600995</v>
      </c>
      <c r="V21" s="33" t="n">
        <f aca="false">(_xlfn.XLOOKUP(L21+K21,'DGI TABLE'!$A$2:$A$91,'DGI TABLE'!$G$2:$G$91)-_xlfn.XLOOKUP(L21+F21,'DGI TABLE'!$A$2:$A$91,'DGI TABLE'!$G$2:$G$91))/_xlfn.XLOOKUP(L21+K21,'DGI TABLE'!$A$2:$A$91,'DGI TABLE'!$C$2:$C$91)</f>
        <v>0.0253898579673198</v>
      </c>
      <c r="W21" s="33" t="n">
        <f aca="false">(_xlfn.XLOOKUP(L21+K21,'DGI TABLE'!$A$2:$A$91,'DGI TABLE'!$D$2:$D$91)-_xlfn.XLOOKUP(L21+H21,'DGI TABLE'!$A$2:$A$91,'DGI TABLE'!$D$2:$D$91))/_xlfn.XLOOKUP(L21+K21,'DGI TABLE'!$A$2:$A$91,'DGI TABLE'!$C$2:$C$91)</f>
        <v>6.95489566805173</v>
      </c>
      <c r="X21" s="33" t="n">
        <f aca="false">G21*((((1+J21)^(K21-1))*V21)-(U21*W21))</f>
        <v>333.729005947943</v>
      </c>
      <c r="Y21" s="32"/>
    </row>
    <row r="22" customFormat="false" ht="14.25" hidden="false" customHeight="false" outlineLevel="0" collapsed="false">
      <c r="A22" s="33" t="n">
        <v>21</v>
      </c>
      <c r="B22" s="33" t="s">
        <v>160</v>
      </c>
      <c r="C22" s="33" t="s">
        <v>215</v>
      </c>
      <c r="D22" s="33" t="n">
        <v>46</v>
      </c>
      <c r="E22" s="33" t="s">
        <v>40</v>
      </c>
      <c r="F22" s="33" t="n">
        <v>5</v>
      </c>
      <c r="G22" s="33" t="n">
        <v>125000</v>
      </c>
      <c r="H22" s="33" t="n">
        <v>3</v>
      </c>
      <c r="I22" s="33" t="s">
        <v>218</v>
      </c>
      <c r="J22" s="33" t="n">
        <v>0.05</v>
      </c>
      <c r="K22" s="33" t="n">
        <v>2</v>
      </c>
      <c r="L22" s="33" t="n">
        <f aca="false">IF(C22="F",D22-3,D22)</f>
        <v>43</v>
      </c>
      <c r="M22" s="33" t="n">
        <f aca="false">(_xlfn.XLOOKUP(L22,'DGI TABLE'!$A$2:$A$91,'DGI TABLE'!$G$2:$G$91)-_xlfn.XLOOKUP(L22+F22,'DGI TABLE'!$A$2:$A$91,'DGI TABLE'!$G$2:$G$91)+_xlfn.XLOOKUP(L22+F22,'DGI TABLE'!$A$2:$A$91,'DGI TABLE'!$C$2:$C$91))/_xlfn.XLOOKUP(L22,'DGI TABLE'!$A$2:$A$91,'DGI TABLE'!$C$2:$C$91)</f>
        <v>0.823234551023173</v>
      </c>
      <c r="N22" s="33" t="n">
        <f aca="false">(_xlfn.XLOOKUP(L22,'DGI TABLE'!$A$2:$A$91,'DGI TABLE'!$D$2:$D$91)-_xlfn.XLOOKUP(L22+H22,'DGI TABLE'!$A$2:$A$91,'DGI TABLE'!$D$2:$D$91))/_xlfn.XLOOKUP(L22,'DGI TABLE'!$A$2:$A$91,'DGI TABLE'!$C$2:$C$91)</f>
        <v>2.87598357401079</v>
      </c>
      <c r="O22" s="33" t="n">
        <f aca="false">M22/N22</f>
        <v>0.286244524642784</v>
      </c>
      <c r="P22" s="33" t="n">
        <f aca="false">(_xlfn.XLOOKUP(L22+1,'DGI TABLE'!$A$2:$A$91,'DGI TABLE'!$G$2:$G$91)-_xlfn.XLOOKUP(L22+F22,'DGI TABLE'!$A$2:$A$91,'DGI TABLE'!$G$2:$G$91))/_xlfn.XLOOKUP(L22+1,'DGI TABLE'!$A$2:$A$91,'DGI TABLE'!$C$2:$C$91)</f>
        <v>0.0158609070545392</v>
      </c>
      <c r="Q22" s="33" t="n">
        <f aca="false">(_xlfn.XLOOKUP(L22+1,'DGI TABLE'!$A$2:$A$91,'DGI TABLE'!$D$2:$D$91)-_xlfn.XLOOKUP(L22+H22,'DGI TABLE'!$A$2:$A$91,'DGI TABLE'!$D$2:$D$91))/_xlfn.XLOOKUP(L22+1,'DGI TABLE'!$A$2:$A$91,'DGI TABLE'!$C$2:$C$91)</f>
        <v>1.95785577059597</v>
      </c>
      <c r="R22" s="33" t="n">
        <f aca="false">_xlfn.XLOOKUP(L22,'DGI TABLE'!$A$2:$A$91,'DGI TABLE'!$F$2:$F$91)/_xlfn.XLOOKUP(L22,'DGI TABLE'!$A$2:$A$91,'DGI TABLE'!$C$2:$C$91)</f>
        <v>0.00335576665055383</v>
      </c>
      <c r="S22" s="33" t="n">
        <f aca="false">P22/Q22</f>
        <v>0.00810116214521314</v>
      </c>
      <c r="T22" s="33" t="n">
        <f aca="false">O22+0.03/N22</f>
        <v>0.296675738600714</v>
      </c>
      <c r="U22" s="33" t="n">
        <f aca="false">MIN(S22,T22)</f>
        <v>0.00810116214521314</v>
      </c>
      <c r="V22" s="33" t="n">
        <f aca="false">(_xlfn.XLOOKUP(L22+K22,'DGI TABLE'!$A$2:$A$91,'DGI TABLE'!$G$2:$G$91)-_xlfn.XLOOKUP(L22+F22,'DGI TABLE'!$A$2:$A$91,'DGI TABLE'!$G$2:$G$91))/_xlfn.XLOOKUP(L22+K22,'DGI TABLE'!$A$2:$A$91,'DGI TABLE'!$C$2:$C$91)</f>
        <v>0.0127140424074306</v>
      </c>
      <c r="W22" s="33" t="n">
        <f aca="false">(_xlfn.XLOOKUP(L22+K22,'DGI TABLE'!$A$2:$A$91,'DGI TABLE'!$D$2:$D$91)-_xlfn.XLOOKUP(L22+H22,'DGI TABLE'!$A$2:$A$91,'DGI TABLE'!$D$2:$D$91))/_xlfn.XLOOKUP(L22+K22,'DGI TABLE'!$A$2:$A$91,'DGI TABLE'!$C$2:$C$91)</f>
        <v>1</v>
      </c>
      <c r="X22" s="33" t="n">
        <f aca="false">G22*((((1+J22)^(K22-1))*V22)-(U22*W22))</f>
        <v>656.07279782362</v>
      </c>
      <c r="Y22" s="32"/>
    </row>
    <row r="23" customFormat="false" ht="14.25" hidden="false" customHeight="false" outlineLevel="0" collapsed="false">
      <c r="A23" s="33" t="n">
        <v>22</v>
      </c>
      <c r="B23" s="33" t="s">
        <v>175</v>
      </c>
      <c r="C23" s="33" t="s">
        <v>217</v>
      </c>
      <c r="D23" s="33" t="n">
        <v>23</v>
      </c>
      <c r="E23" s="33" t="s">
        <v>40</v>
      </c>
      <c r="F23" s="33" t="n">
        <v>25</v>
      </c>
      <c r="G23" s="33" t="n">
        <v>100000</v>
      </c>
      <c r="H23" s="33" t="n">
        <v>20</v>
      </c>
      <c r="I23" s="33" t="s">
        <v>218</v>
      </c>
      <c r="J23" s="33" t="n">
        <v>0.05</v>
      </c>
      <c r="K23" s="33" t="n">
        <v>8</v>
      </c>
      <c r="L23" s="33" t="n">
        <f aca="false">IF(C23="F",D23-3,D23)</f>
        <v>23</v>
      </c>
      <c r="M23" s="33" t="n">
        <f aca="false">(_xlfn.XLOOKUP(L23,'DGI TABLE'!$A$2:$A$91,'DGI TABLE'!$G$2:$G$91)-_xlfn.XLOOKUP(L23+F23,'DGI TABLE'!$A$2:$A$91,'DGI TABLE'!$G$2:$G$91)+_xlfn.XLOOKUP(L23+F23,'DGI TABLE'!$A$2:$A$91,'DGI TABLE'!$C$2:$C$91))/_xlfn.XLOOKUP(L23,'DGI TABLE'!$A$2:$A$91,'DGI TABLE'!$C$2:$C$91)</f>
        <v>0.387928595955764</v>
      </c>
      <c r="N23" s="33" t="n">
        <f aca="false">(_xlfn.XLOOKUP(L23,'DGI TABLE'!$A$2:$A$91,'DGI TABLE'!$D$2:$D$91)-_xlfn.XLOOKUP(L23+H23,'DGI TABLE'!$A$2:$A$91,'DGI TABLE'!$D$2:$D$91))/_xlfn.XLOOKUP(L23,'DGI TABLE'!$A$2:$A$91,'DGI TABLE'!$C$2:$C$91)</f>
        <v>13.9051872394346</v>
      </c>
      <c r="O23" s="33" t="n">
        <f aca="false">M23/N23</f>
        <v>0.0278981209872251</v>
      </c>
      <c r="P23" s="33" t="n">
        <f aca="false">(_xlfn.XLOOKUP(L23+1,'DGI TABLE'!$A$2:$A$91,'DGI TABLE'!$G$2:$G$91)-_xlfn.XLOOKUP(L23+F23,'DGI TABLE'!$A$2:$A$91,'DGI TABLE'!$G$2:$G$91))/_xlfn.XLOOKUP(L23+1,'DGI TABLE'!$A$2:$A$91,'DGI TABLE'!$C$2:$C$91)</f>
        <v>0.0355844829778849</v>
      </c>
      <c r="Q23" s="33" t="n">
        <f aca="false">(_xlfn.XLOOKUP(L23+1,'DGI TABLE'!$A$2:$A$91,'DGI TABLE'!$D$2:$D$91)-_xlfn.XLOOKUP(L23+H23,'DGI TABLE'!$A$2:$A$91,'DGI TABLE'!$D$2:$D$91))/_xlfn.XLOOKUP(L23+1,'DGI TABLE'!$A$2:$A$91,'DGI TABLE'!$C$2:$C$91)</f>
        <v>13.4507174656071</v>
      </c>
      <c r="R23" s="33" t="n">
        <f aca="false">_xlfn.XLOOKUP(L23,'DGI TABLE'!$A$2:$A$91,'DGI TABLE'!$F$2:$F$91)/_xlfn.XLOOKUP(L23,'DGI TABLE'!$A$2:$A$91,'DGI TABLE'!$C$2:$C$91)</f>
        <v>0.00209615339333031</v>
      </c>
      <c r="S23" s="33" t="n">
        <f aca="false">P23/Q23</f>
        <v>0.00264554534498794</v>
      </c>
      <c r="T23" s="33" t="n">
        <f aca="false">O23+0.03/N23</f>
        <v>0.0300555892387076</v>
      </c>
      <c r="U23" s="33" t="n">
        <f aca="false">MIN(S23,T23)</f>
        <v>0.00264554534498794</v>
      </c>
      <c r="V23" s="33" t="n">
        <f aca="false">(_xlfn.XLOOKUP(L23+K23,'DGI TABLE'!$A$2:$A$91,'DGI TABLE'!$G$2:$G$91)-_xlfn.XLOOKUP(L23+F23,'DGI TABLE'!$A$2:$A$91,'DGI TABLE'!$G$2:$G$91))/_xlfn.XLOOKUP(L23+K23,'DGI TABLE'!$A$2:$A$91,'DGI TABLE'!$C$2:$C$91)</f>
        <v>0.0320176689802366</v>
      </c>
      <c r="W23" s="33" t="n">
        <f aca="false">(_xlfn.XLOOKUP(L23+K23,'DGI TABLE'!$A$2:$A$91,'DGI TABLE'!$D$2:$D$91)-_xlfn.XLOOKUP(L23+H23,'DGI TABLE'!$A$2:$A$91,'DGI TABLE'!$D$2:$D$91))/_xlfn.XLOOKUP(L23+K23,'DGI TABLE'!$A$2:$A$91,'DGI TABLE'!$C$2:$C$91)</f>
        <v>9.66261991490768</v>
      </c>
      <c r="X23" s="33" t="n">
        <f aca="false">G23*((((1+J23)^(K23-1))*V23)-(U23*W23))</f>
        <v>1948.91764182871</v>
      </c>
      <c r="Y23" s="32"/>
    </row>
    <row r="24" customFormat="false" ht="14.25" hidden="false" customHeight="false" outlineLevel="0" collapsed="false">
      <c r="A24" s="33" t="n">
        <v>23</v>
      </c>
      <c r="B24" s="33" t="s">
        <v>176</v>
      </c>
      <c r="C24" s="33" t="s">
        <v>215</v>
      </c>
      <c r="D24" s="33" t="n">
        <v>29</v>
      </c>
      <c r="E24" s="33" t="s">
        <v>40</v>
      </c>
      <c r="F24" s="33" t="n">
        <v>10</v>
      </c>
      <c r="G24" s="33" t="n">
        <v>200000</v>
      </c>
      <c r="H24" s="33" t="n">
        <v>5</v>
      </c>
      <c r="I24" s="33" t="s">
        <v>218</v>
      </c>
      <c r="J24" s="33" t="n">
        <v>0.05</v>
      </c>
      <c r="K24" s="33" t="n">
        <v>5</v>
      </c>
      <c r="L24" s="33" t="n">
        <f aca="false">IF(C24="F",D24-3,D24)</f>
        <v>26</v>
      </c>
      <c r="M24" s="33" t="n">
        <f aca="false">(_xlfn.XLOOKUP(L24,'DGI TABLE'!$A$2:$A$91,'DGI TABLE'!$G$2:$G$91)-_xlfn.XLOOKUP(L24+F24,'DGI TABLE'!$A$2:$A$91,'DGI TABLE'!$G$2:$G$91)+_xlfn.XLOOKUP(L24+F24,'DGI TABLE'!$A$2:$A$91,'DGI TABLE'!$C$2:$C$91))/_xlfn.XLOOKUP(L24,'DGI TABLE'!$A$2:$A$91,'DGI TABLE'!$C$2:$C$91)</f>
        <v>0.678090581371379</v>
      </c>
      <c r="N24" s="33" t="n">
        <f aca="false">(_xlfn.XLOOKUP(L24,'DGI TABLE'!$A$2:$A$91,'DGI TABLE'!$D$2:$D$91)-_xlfn.XLOOKUP(L24+H24,'DGI TABLE'!$A$2:$A$91,'DGI TABLE'!$D$2:$D$91))/_xlfn.XLOOKUP(L24,'DGI TABLE'!$A$2:$A$91,'DGI TABLE'!$C$2:$C$91)</f>
        <v>4.61280000059298</v>
      </c>
      <c r="O24" s="33" t="n">
        <f aca="false">M24/N24</f>
        <v>0.147001947035252</v>
      </c>
      <c r="P24" s="33" t="n">
        <f aca="false">(_xlfn.XLOOKUP(L24+1,'DGI TABLE'!$A$2:$A$91,'DGI TABLE'!$G$2:$G$91)-_xlfn.XLOOKUP(L24+F24,'DGI TABLE'!$A$2:$A$91,'DGI TABLE'!$G$2:$G$91))/_xlfn.XLOOKUP(L24+1,'DGI TABLE'!$A$2:$A$91,'DGI TABLE'!$C$2:$C$91)</f>
        <v>0.0137237323246392</v>
      </c>
      <c r="Q24" s="33" t="n">
        <f aca="false">(_xlfn.XLOOKUP(L24+1,'DGI TABLE'!$A$2:$A$91,'DGI TABLE'!$D$2:$D$91)-_xlfn.XLOOKUP(L24+H24,'DGI TABLE'!$A$2:$A$91,'DGI TABLE'!$D$2:$D$91))/_xlfn.XLOOKUP(L24+1,'DGI TABLE'!$A$2:$A$91,'DGI TABLE'!$C$2:$C$91)</f>
        <v>3.76476617469875</v>
      </c>
      <c r="R24" s="33" t="n">
        <f aca="false">_xlfn.XLOOKUP(L24,'DGI TABLE'!$A$2:$A$91,'DGI TABLE'!$F$2:$F$91)/_xlfn.XLOOKUP(L24,'DGI TABLE'!$A$2:$A$91,'DGI TABLE'!$C$2:$C$91)</f>
        <v>0.00190384751841136</v>
      </c>
      <c r="S24" s="33" t="n">
        <f aca="false">P24/Q24</f>
        <v>0.0036453080185617</v>
      </c>
      <c r="T24" s="33" t="n">
        <f aca="false">O24+0.03/N24</f>
        <v>0.153505589073958</v>
      </c>
      <c r="U24" s="33" t="n">
        <f aca="false">MIN(S24,T24)</f>
        <v>0.0036453080185617</v>
      </c>
      <c r="V24" s="33" t="n">
        <f aca="false">(_xlfn.XLOOKUP(L24+K24,'DGI TABLE'!$A$2:$A$91,'DGI TABLE'!$G$2:$G$91)-_xlfn.XLOOKUP(L24+F24,'DGI TABLE'!$A$2:$A$91,'DGI TABLE'!$G$2:$G$91))/_xlfn.XLOOKUP(L24+K24,'DGI TABLE'!$A$2:$A$91,'DGI TABLE'!$C$2:$C$91)</f>
        <v>0.00828174716545667</v>
      </c>
      <c r="W24" s="33" t="n">
        <f aca="false">(_xlfn.XLOOKUP(L24+K24,'DGI TABLE'!$A$2:$A$91,'DGI TABLE'!$D$2:$D$91)-_xlfn.XLOOKUP(L24+H24,'DGI TABLE'!$A$2:$A$91,'DGI TABLE'!$D$2:$D$91))/_xlfn.XLOOKUP(L24+K24,'DGI TABLE'!$A$2:$A$91,'DGI TABLE'!$C$2:$C$91)</f>
        <v>0</v>
      </c>
      <c r="X24" s="33" t="n">
        <f aca="false">G24*((((1+J24)^(K24-1))*V24)-(U24*W24))</f>
        <v>2013.30308810647</v>
      </c>
      <c r="Y24" s="32"/>
    </row>
    <row r="25" customFormat="false" ht="14.25" hidden="false" customHeight="false" outlineLevel="0" collapsed="false">
      <c r="A25" s="33" t="n">
        <v>24</v>
      </c>
      <c r="B25" s="33" t="s">
        <v>193</v>
      </c>
      <c r="C25" s="33" t="s">
        <v>217</v>
      </c>
      <c r="D25" s="33" t="n">
        <v>25</v>
      </c>
      <c r="E25" s="33" t="s">
        <v>40</v>
      </c>
      <c r="F25" s="33" t="n">
        <v>10</v>
      </c>
      <c r="G25" s="33" t="n">
        <v>180000</v>
      </c>
      <c r="H25" s="33" t="n">
        <v>5</v>
      </c>
      <c r="I25" s="33" t="s">
        <v>218</v>
      </c>
      <c r="J25" s="33" t="n">
        <v>0.05</v>
      </c>
      <c r="K25" s="33" t="n">
        <v>3</v>
      </c>
      <c r="L25" s="33" t="n">
        <f aca="false">IF(C25="F",D25-3,D25)</f>
        <v>25</v>
      </c>
      <c r="M25" s="33" t="n">
        <f aca="false">(_xlfn.XLOOKUP(L25,'DGI TABLE'!$A$2:$A$91,'DGI TABLE'!$G$2:$G$91)-_xlfn.XLOOKUP(L25+F25,'DGI TABLE'!$A$2:$A$91,'DGI TABLE'!$G$2:$G$91)+_xlfn.XLOOKUP(L25+F25,'DGI TABLE'!$A$2:$A$91,'DGI TABLE'!$C$2:$C$91))/_xlfn.XLOOKUP(L25,'DGI TABLE'!$A$2:$A$91,'DGI TABLE'!$C$2:$C$91)</f>
        <v>0.67814174657148</v>
      </c>
      <c r="N25" s="33" t="n">
        <f aca="false">(_xlfn.XLOOKUP(L25,'DGI TABLE'!$A$2:$A$91,'DGI TABLE'!$D$2:$D$91)-_xlfn.XLOOKUP(L25+H25,'DGI TABLE'!$A$2:$A$91,'DGI TABLE'!$D$2:$D$91))/_xlfn.XLOOKUP(L25,'DGI TABLE'!$A$2:$A$91,'DGI TABLE'!$C$2:$C$91)</f>
        <v>4.61229405277634</v>
      </c>
      <c r="O25" s="33" t="n">
        <f aca="false">M25/N25</f>
        <v>0.147029165706223</v>
      </c>
      <c r="P25" s="33" t="n">
        <f aca="false">(_xlfn.XLOOKUP(L25+1,'DGI TABLE'!$A$2:$A$91,'DGI TABLE'!$G$2:$G$91)-_xlfn.XLOOKUP(L25+F25,'DGI TABLE'!$A$2:$A$91,'DGI TABLE'!$G$2:$G$91))/_xlfn.XLOOKUP(L25+1,'DGI TABLE'!$A$2:$A$91,'DGI TABLE'!$C$2:$C$91)</f>
        <v>0.0137316121219855</v>
      </c>
      <c r="Q25" s="33" t="n">
        <f aca="false">(_xlfn.XLOOKUP(L25+1,'DGI TABLE'!$A$2:$A$91,'DGI TABLE'!$D$2:$D$91)-_xlfn.XLOOKUP(L25+H25,'DGI TABLE'!$A$2:$A$91,'DGI TABLE'!$D$2:$D$91))/_xlfn.XLOOKUP(L25+1,'DGI TABLE'!$A$2:$A$91,'DGI TABLE'!$C$2:$C$91)</f>
        <v>3.76446533691547</v>
      </c>
      <c r="R25" s="33" t="n">
        <f aca="false">_xlfn.XLOOKUP(L25,'DGI TABLE'!$A$2:$A$91,'DGI TABLE'!$F$2:$F$91)/_xlfn.XLOOKUP(L25,'DGI TABLE'!$A$2:$A$91,'DGI TABLE'!$C$2:$C$91)</f>
        <v>0.0019615398219732</v>
      </c>
      <c r="S25" s="33" t="n">
        <f aca="false">P25/Q25</f>
        <v>0.0036476925387861</v>
      </c>
      <c r="T25" s="33" t="n">
        <f aca="false">O25+0.03/N25</f>
        <v>0.153533521165074</v>
      </c>
      <c r="U25" s="33" t="n">
        <f aca="false">MIN(S25,T25)</f>
        <v>0.0036476925387861</v>
      </c>
      <c r="V25" s="33" t="n">
        <f aca="false">(_xlfn.XLOOKUP(L25+K25,'DGI TABLE'!$A$2:$A$91,'DGI TABLE'!$G$2:$G$91)-_xlfn.XLOOKUP(L25+F25,'DGI TABLE'!$A$2:$A$91,'DGI TABLE'!$G$2:$G$91))/_xlfn.XLOOKUP(L25+K25,'DGI TABLE'!$A$2:$A$91,'DGI TABLE'!$C$2:$C$91)</f>
        <v>0.0109192571313471</v>
      </c>
      <c r="W25" s="33" t="n">
        <f aca="false">(_xlfn.XLOOKUP(L25+K25,'DGI TABLE'!$A$2:$A$91,'DGI TABLE'!$D$2:$D$91)-_xlfn.XLOOKUP(L25+H25,'DGI TABLE'!$A$2:$A$91,'DGI TABLE'!$D$2:$D$91))/_xlfn.XLOOKUP(L25+K25,'DGI TABLE'!$A$2:$A$91,'DGI TABLE'!$C$2:$C$91)</f>
        <v>1.95974036068665</v>
      </c>
      <c r="X25" s="33" t="n">
        <f aca="false">G25*((((1+J25)^(K25-1))*V25)-(U25*W25))</f>
        <v>880.191125221582</v>
      </c>
      <c r="Y25" s="32"/>
    </row>
    <row r="26" customFormat="false" ht="14.25" hidden="false" customHeight="false" outlineLevel="0" collapsed="false">
      <c r="A26" s="33" t="n">
        <v>25</v>
      </c>
      <c r="B26" s="33" t="s">
        <v>178</v>
      </c>
      <c r="C26" s="33" t="s">
        <v>215</v>
      </c>
      <c r="D26" s="33" t="n">
        <v>58</v>
      </c>
      <c r="E26" s="33" t="s">
        <v>40</v>
      </c>
      <c r="F26" s="33" t="n">
        <v>20</v>
      </c>
      <c r="G26" s="33" t="n">
        <v>60000</v>
      </c>
      <c r="H26" s="33" t="n">
        <v>15</v>
      </c>
      <c r="I26" s="33" t="s">
        <v>218</v>
      </c>
      <c r="J26" s="33" t="n">
        <v>0.05</v>
      </c>
      <c r="K26" s="33" t="n">
        <v>3</v>
      </c>
      <c r="L26" s="33" t="n">
        <f aca="false">IF(C26="F",D26-3,D26)</f>
        <v>55</v>
      </c>
      <c r="M26" s="33" t="n">
        <f aca="false">(_xlfn.XLOOKUP(L26,'DGI TABLE'!$A$2:$A$91,'DGI TABLE'!$G$2:$G$91)-_xlfn.XLOOKUP(L26+F26,'DGI TABLE'!$A$2:$A$91,'DGI TABLE'!$G$2:$G$91)+_xlfn.XLOOKUP(L26+F26,'DGI TABLE'!$A$2:$A$91,'DGI TABLE'!$C$2:$C$91))/_xlfn.XLOOKUP(L26,'DGI TABLE'!$A$2:$A$91,'DGI TABLE'!$C$2:$C$91)</f>
        <v>0.524915284961318</v>
      </c>
      <c r="N26" s="33" t="n">
        <f aca="false">(_xlfn.XLOOKUP(L26,'DGI TABLE'!$A$2:$A$91,'DGI TABLE'!$D$2:$D$91)-_xlfn.XLOOKUP(L26+H26,'DGI TABLE'!$A$2:$A$91,'DGI TABLE'!$D$2:$D$91))/_xlfn.XLOOKUP(L26,'DGI TABLE'!$A$2:$A$91,'DGI TABLE'!$C$2:$C$91)</f>
        <v>10.5700362414572</v>
      </c>
      <c r="O26" s="33" t="n">
        <f aca="false">M26/N26</f>
        <v>0.0496606892323156</v>
      </c>
      <c r="P26" s="33" t="n">
        <f aca="false">(_xlfn.XLOOKUP(L26+1,'DGI TABLE'!$A$2:$A$91,'DGI TABLE'!$G$2:$G$91)-_xlfn.XLOOKUP(L26+F26,'DGI TABLE'!$A$2:$A$91,'DGI TABLE'!$G$2:$G$91))/_xlfn.XLOOKUP(L26+1,'DGI TABLE'!$A$2:$A$91,'DGI TABLE'!$C$2:$C$91)</f>
        <v>0.254351710149292</v>
      </c>
      <c r="Q26" s="33" t="n">
        <f aca="false">(_xlfn.XLOOKUP(L26+1,'DGI TABLE'!$A$2:$A$91,'DGI TABLE'!$D$2:$D$91)-_xlfn.XLOOKUP(L26+H26,'DGI TABLE'!$A$2:$A$91,'DGI TABLE'!$D$2:$D$91))/_xlfn.XLOOKUP(L26+1,'DGI TABLE'!$A$2:$A$91,'DGI TABLE'!$C$2:$C$91)</f>
        <v>10.0567233939531</v>
      </c>
      <c r="R26" s="33" t="n">
        <f aca="false">_xlfn.XLOOKUP(L26,'DGI TABLE'!$A$2:$A$91,'DGI TABLE'!$F$2:$F$91)/_xlfn.XLOOKUP(L26,'DGI TABLE'!$A$2:$A$91,'DGI TABLE'!$C$2:$C$91)</f>
        <v>0.00993269131837168</v>
      </c>
      <c r="S26" s="33" t="n">
        <f aca="false">P26/Q26</f>
        <v>0.0252917078640372</v>
      </c>
      <c r="T26" s="33" t="n">
        <f aca="false">O26+0.03/N26</f>
        <v>0.0524989008821807</v>
      </c>
      <c r="U26" s="33" t="n">
        <f aca="false">MIN(S26,T26)</f>
        <v>0.0252917078640372</v>
      </c>
      <c r="V26" s="33" t="n">
        <f aca="false">(_xlfn.XLOOKUP(L26+K26,'DGI TABLE'!$A$2:$A$91,'DGI TABLE'!$G$2:$G$91)-_xlfn.XLOOKUP(L26+F26,'DGI TABLE'!$A$2:$A$91,'DGI TABLE'!$G$2:$G$91))/_xlfn.XLOOKUP(L26+K26,'DGI TABLE'!$A$2:$A$91,'DGI TABLE'!$C$2:$C$91)</f>
        <v>0.25744237528523</v>
      </c>
      <c r="W26" s="33" t="n">
        <f aca="false">(_xlfn.XLOOKUP(L26+K26,'DGI TABLE'!$A$2:$A$91,'DGI TABLE'!$D$2:$D$91)-_xlfn.XLOOKUP(L26+H26,'DGI TABLE'!$A$2:$A$91,'DGI TABLE'!$D$2:$D$91))/_xlfn.XLOOKUP(L26+K26,'DGI TABLE'!$A$2:$A$91,'DGI TABLE'!$C$2:$C$91)</f>
        <v>8.97551139390882</v>
      </c>
      <c r="X26" s="33" t="n">
        <f aca="false">G26*((((1+J26)^(K26-1))*V26)-(U26*W26))</f>
        <v>3409.45239881323</v>
      </c>
      <c r="Y26" s="32"/>
    </row>
    <row r="27" customFormat="false" ht="14.25" hidden="false" customHeight="false" outlineLevel="0" collapsed="false">
      <c r="A27" s="33" t="n">
        <v>26</v>
      </c>
      <c r="B27" s="33" t="s">
        <v>95</v>
      </c>
      <c r="C27" s="33" t="s">
        <v>215</v>
      </c>
      <c r="D27" s="33" t="n">
        <v>32</v>
      </c>
      <c r="E27" s="33" t="s">
        <v>39</v>
      </c>
      <c r="F27" s="33" t="n">
        <v>25</v>
      </c>
      <c r="G27" s="33" t="n">
        <v>150000</v>
      </c>
      <c r="H27" s="33" t="n">
        <v>15</v>
      </c>
      <c r="I27" s="33" t="s">
        <v>219</v>
      </c>
      <c r="J27" s="33" t="n">
        <v>0.05</v>
      </c>
      <c r="K27" s="33" t="n">
        <v>4</v>
      </c>
      <c r="L27" s="33" t="n">
        <f aca="false">IF(C27="F",D27-3,D27)</f>
        <v>29</v>
      </c>
      <c r="M27" s="33" t="n">
        <f aca="false">(_xlfn.XLOOKUP(L27,'DGI TABLE'!$A$2:$A$91,'DGI TABLE'!$G$2:$G$91)-_xlfn.XLOOKUP(L27+F27,'DGI TABLE'!$A$2:$A$91,'DGI TABLE'!$G$2:$G$91)+_xlfn.XLOOKUP(L27+F27,'DGI TABLE'!$A$2:$A$91,'DGI TABLE'!$C$2:$C$91))/_xlfn.XLOOKUP(L27,'DGI TABLE'!$A$2:$A$91,'DGI TABLE'!$C$2:$C$91)</f>
        <v>0.390258832650031</v>
      </c>
      <c r="N27" s="33" t="n">
        <f aca="false">(_xlfn.XLOOKUP(L27,'DGI TABLE'!$A$2:$A$91,'DGI TABLE'!$D$2:$D$91)-_xlfn.XLOOKUP(L27+H27,'DGI TABLE'!$A$2:$A$91,'DGI TABLE'!$D$2:$D$91))/_xlfn.XLOOKUP(L27,'DGI TABLE'!$A$2:$A$91,'DGI TABLE'!$C$2:$C$91)</f>
        <v>11.4210466187893</v>
      </c>
      <c r="O27" s="33" t="n">
        <f aca="false">M27/N27</f>
        <v>0.034170146193782</v>
      </c>
      <c r="P27" s="33" t="n">
        <f aca="false">(_xlfn.XLOOKUP(L27+1,'DGI TABLE'!$A$2:$A$91,'DGI TABLE'!$G$2:$G$91)-_xlfn.XLOOKUP(L27+F27,'DGI TABLE'!$A$2:$A$91,'DGI TABLE'!$G$2:$G$91))/_xlfn.XLOOKUP(L27+1,'DGI TABLE'!$A$2:$A$91,'DGI TABLE'!$C$2:$C$91)</f>
        <v>0.0491749051033248</v>
      </c>
      <c r="Q27" s="33" t="n">
        <f aca="false">(_xlfn.XLOOKUP(L27+1,'DGI TABLE'!$A$2:$A$91,'DGI TABLE'!$D$2:$D$91)-_xlfn.XLOOKUP(L27+H27,'DGI TABLE'!$A$2:$A$91,'DGI TABLE'!$D$2:$D$91))/_xlfn.XLOOKUP(L27+1,'DGI TABLE'!$A$2:$A$91,'DGI TABLE'!$C$2:$C$91)</f>
        <v>10.8576493584025</v>
      </c>
      <c r="R27" s="33" t="n">
        <f aca="false">_xlfn.XLOOKUP(L27,'DGI TABLE'!$A$2:$A$91,'DGI TABLE'!$F$2:$F$91)/_xlfn.XLOOKUP(L27,'DGI TABLE'!$A$2:$A$91,'DGI TABLE'!$C$2:$C$91)</f>
        <v>0.00175000154011953</v>
      </c>
      <c r="S27" s="33" t="n">
        <f aca="false">P27/Q27</f>
        <v>0.00452905628834563</v>
      </c>
      <c r="T27" s="33" t="n">
        <f aca="false">O27+0.03/N27</f>
        <v>0.0367968756872634</v>
      </c>
      <c r="U27" s="33" t="n">
        <f aca="false">MIN(S27,T27)</f>
        <v>0.00452905628834563</v>
      </c>
      <c r="V27" s="33" t="n">
        <f aca="false">(_xlfn.XLOOKUP(L27+K27,'DGI TABLE'!$A$2:$A$91,'DGI TABLE'!$G$2:$G$91)-_xlfn.XLOOKUP(L27+F27,'DGI TABLE'!$A$2:$A$91,'DGI TABLE'!$G$2:$G$91))/_xlfn.XLOOKUP(L27+K27,'DGI TABLE'!$A$2:$A$91,'DGI TABLE'!$C$2:$C$91)</f>
        <v>0.0500353720142096</v>
      </c>
      <c r="W27" s="33" t="n">
        <f aca="false">(_xlfn.XLOOKUP(L27+K27,'DGI TABLE'!$A$2:$A$91,'DGI TABLE'!$D$2:$D$91)-_xlfn.XLOOKUP(L27+H27,'DGI TABLE'!$A$2:$A$91,'DGI TABLE'!$D$2:$D$91))/_xlfn.XLOOKUP(L27+K27,'DGI TABLE'!$A$2:$A$91,'DGI TABLE'!$C$2:$C$91)</f>
        <v>9.02061324792618</v>
      </c>
      <c r="X27" s="33" t="n">
        <f aca="false">G27*(((1+J27*(K27-1))*V27)-(U27*W27))</f>
        <v>2502.87189916307</v>
      </c>
      <c r="Y27" s="32"/>
    </row>
    <row r="28" customFormat="false" ht="14.25" hidden="false" customHeight="false" outlineLevel="0" collapsed="false">
      <c r="A28" s="33" t="n">
        <v>27</v>
      </c>
      <c r="B28" s="33" t="s">
        <v>94</v>
      </c>
      <c r="C28" s="33" t="s">
        <v>217</v>
      </c>
      <c r="D28" s="33" t="n">
        <v>27</v>
      </c>
      <c r="E28" s="33" t="s">
        <v>39</v>
      </c>
      <c r="F28" s="33" t="n">
        <v>25</v>
      </c>
      <c r="G28" s="33" t="n">
        <v>50000</v>
      </c>
      <c r="H28" s="33" t="n">
        <v>20</v>
      </c>
      <c r="I28" s="33" t="s">
        <v>219</v>
      </c>
      <c r="J28" s="33" t="n">
        <v>0.05</v>
      </c>
      <c r="K28" s="33" t="n">
        <v>10</v>
      </c>
      <c r="L28" s="33" t="n">
        <f aca="false">IF(C28="F",D28-3,D28)</f>
        <v>27</v>
      </c>
      <c r="M28" s="33" t="n">
        <f aca="false">(_xlfn.XLOOKUP(L28,'DGI TABLE'!$A$2:$A$91,'DGI TABLE'!$G$2:$G$91)-_xlfn.XLOOKUP(L28+F28,'DGI TABLE'!$A$2:$A$91,'DGI TABLE'!$G$2:$G$91)+_xlfn.XLOOKUP(L28+F28,'DGI TABLE'!$A$2:$A$91,'DGI TABLE'!$C$2:$C$91))/_xlfn.XLOOKUP(L28,'DGI TABLE'!$A$2:$A$91,'DGI TABLE'!$C$2:$C$91)</f>
        <v>0.389003260314454</v>
      </c>
      <c r="N28" s="33" t="n">
        <f aca="false">(_xlfn.XLOOKUP(L28,'DGI TABLE'!$A$2:$A$91,'DGI TABLE'!$D$2:$D$91)-_xlfn.XLOOKUP(L28+H28,'DGI TABLE'!$A$2:$A$91,'DGI TABLE'!$D$2:$D$91))/_xlfn.XLOOKUP(L28,'DGI TABLE'!$A$2:$A$91,'DGI TABLE'!$C$2:$C$91)</f>
        <v>13.8993822820074</v>
      </c>
      <c r="O28" s="33" t="n">
        <f aca="false">M28/N28</f>
        <v>0.0279870898160715</v>
      </c>
      <c r="P28" s="33" t="n">
        <f aca="false">(_xlfn.XLOOKUP(L28+1,'DGI TABLE'!$A$2:$A$91,'DGI TABLE'!$G$2:$G$91)-_xlfn.XLOOKUP(L28+F28,'DGI TABLE'!$A$2:$A$91,'DGI TABLE'!$G$2:$G$91))/_xlfn.XLOOKUP(L28+1,'DGI TABLE'!$A$2:$A$91,'DGI TABLE'!$C$2:$C$91)</f>
        <v>0.0431769923231821</v>
      </c>
      <c r="Q28" s="33" t="n">
        <f aca="false">(_xlfn.XLOOKUP(L28+1,'DGI TABLE'!$A$2:$A$91,'DGI TABLE'!$D$2:$D$91)-_xlfn.XLOOKUP(L28+H28,'DGI TABLE'!$A$2:$A$91,'DGI TABLE'!$D$2:$D$91))/_xlfn.XLOOKUP(L28+1,'DGI TABLE'!$A$2:$A$91,'DGI TABLE'!$C$2:$C$91)</f>
        <v>13.4411644189673</v>
      </c>
      <c r="R28" s="33" t="n">
        <f aca="false">_xlfn.XLOOKUP(L28,'DGI TABLE'!$A$2:$A$91,'DGI TABLE'!$F$2:$F$91)/_xlfn.XLOOKUP(L28,'DGI TABLE'!$A$2:$A$91,'DGI TABLE'!$C$2:$C$91)</f>
        <v>0.0018461548790625</v>
      </c>
      <c r="S28" s="33" t="n">
        <f aca="false">P28/Q28</f>
        <v>0.0032122955256952</v>
      </c>
      <c r="T28" s="33" t="n">
        <f aca="false">O28+0.03/N28</f>
        <v>0.0301454591156075</v>
      </c>
      <c r="U28" s="33" t="n">
        <f aca="false">MIN(S28,T28)</f>
        <v>0.0032122955256952</v>
      </c>
      <c r="V28" s="33" t="n">
        <f aca="false">(_xlfn.XLOOKUP(L28+K28,'DGI TABLE'!$A$2:$A$91,'DGI TABLE'!$G$2:$G$91)-_xlfn.XLOOKUP(L28+F28,'DGI TABLE'!$A$2:$A$91,'DGI TABLE'!$G$2:$G$91))/_xlfn.XLOOKUP(L28+K28,'DGI TABLE'!$A$2:$A$91,'DGI TABLE'!$C$2:$C$91)</f>
        <v>0.0424452034708113</v>
      </c>
      <c r="W28" s="33" t="n">
        <f aca="false">(_xlfn.XLOOKUP(L28+K28,'DGI TABLE'!$A$2:$A$91,'DGI TABLE'!$D$2:$D$91)-_xlfn.XLOOKUP(L28+H28,'DGI TABLE'!$A$2:$A$91,'DGI TABLE'!$D$2:$D$91))/_xlfn.XLOOKUP(L28+K28,'DGI TABLE'!$A$2:$A$91,'DGI TABLE'!$C$2:$C$91)</f>
        <v>8.34024873096265</v>
      </c>
      <c r="X28" s="33" t="n">
        <f aca="false">G28*(((1+J28*(K28-1))*V28)-(U28*W28))</f>
        <v>1737.710067551</v>
      </c>
      <c r="Y28" s="32"/>
    </row>
    <row r="29" customFormat="false" ht="14.25" hidden="false" customHeight="false" outlineLevel="0" collapsed="false">
      <c r="A29" s="33" t="n">
        <v>28</v>
      </c>
      <c r="B29" s="33" t="s">
        <v>100</v>
      </c>
      <c r="C29" s="33" t="s">
        <v>217</v>
      </c>
      <c r="D29" s="33" t="n">
        <v>56</v>
      </c>
      <c r="E29" s="33" t="s">
        <v>39</v>
      </c>
      <c r="F29" s="33" t="n">
        <v>15</v>
      </c>
      <c r="G29" s="33" t="n">
        <v>125000</v>
      </c>
      <c r="H29" s="33" t="n">
        <v>10</v>
      </c>
      <c r="I29" s="33" t="s">
        <v>219</v>
      </c>
      <c r="J29" s="33" t="n">
        <v>0.05</v>
      </c>
      <c r="K29" s="33" t="n">
        <v>6</v>
      </c>
      <c r="L29" s="33" t="n">
        <f aca="false">IF(C29="F",D29-3,D29)</f>
        <v>56</v>
      </c>
      <c r="M29" s="33" t="n">
        <f aca="false">(_xlfn.XLOOKUP(L29,'DGI TABLE'!$A$2:$A$91,'DGI TABLE'!$G$2:$G$91)-_xlfn.XLOOKUP(L29+F29,'DGI TABLE'!$A$2:$A$91,'DGI TABLE'!$G$2:$G$91)+_xlfn.XLOOKUP(L29+F29,'DGI TABLE'!$A$2:$A$91,'DGI TABLE'!$C$2:$C$91))/_xlfn.XLOOKUP(L29,'DGI TABLE'!$A$2:$A$91,'DGI TABLE'!$C$2:$C$91)</f>
        <v>0.596415120622031</v>
      </c>
      <c r="N29" s="33" t="n">
        <f aca="false">(_xlfn.XLOOKUP(L29,'DGI TABLE'!$A$2:$A$91,'DGI TABLE'!$D$2:$D$91)-_xlfn.XLOOKUP(L29+H29,'DGI TABLE'!$A$2:$A$91,'DGI TABLE'!$D$2:$D$91))/_xlfn.XLOOKUP(L29,'DGI TABLE'!$A$2:$A$91,'DGI TABLE'!$C$2:$C$91)</f>
        <v>7.97113960809648</v>
      </c>
      <c r="O29" s="33" t="n">
        <f aca="false">M29/N29</f>
        <v>0.0748218134350875</v>
      </c>
      <c r="P29" s="33" t="n">
        <f aca="false">(_xlfn.XLOOKUP(L29+1,'DGI TABLE'!$A$2:$A$91,'DGI TABLE'!$G$2:$G$91)-_xlfn.XLOOKUP(L29+F29,'DGI TABLE'!$A$2:$A$91,'DGI TABLE'!$G$2:$G$91))/_xlfn.XLOOKUP(L29+1,'DGI TABLE'!$A$2:$A$91,'DGI TABLE'!$C$2:$C$91)</f>
        <v>0.190486030042742</v>
      </c>
      <c r="Q29" s="33" t="n">
        <f aca="false">(_xlfn.XLOOKUP(L29+1,'DGI TABLE'!$A$2:$A$91,'DGI TABLE'!$D$2:$D$91)-_xlfn.XLOOKUP(L29+H29,'DGI TABLE'!$A$2:$A$91,'DGI TABLE'!$D$2:$D$91))/_xlfn.XLOOKUP(L29+1,'DGI TABLE'!$A$2:$A$91,'DGI TABLE'!$C$2:$C$91)</f>
        <v>7.33225364430688</v>
      </c>
      <c r="R29" s="33" t="n">
        <f aca="false">_xlfn.XLOOKUP(L29,'DGI TABLE'!$A$2:$A$91,'DGI TABLE'!$F$2:$F$91)/_xlfn.XLOOKUP(L29,'DGI TABLE'!$A$2:$A$91,'DGI TABLE'!$C$2:$C$91)</f>
        <v>0.0107884613900858</v>
      </c>
      <c r="S29" s="33" t="n">
        <f aca="false">P29/Q29</f>
        <v>0.025979192657996</v>
      </c>
      <c r="T29" s="33" t="n">
        <f aca="false">O29+0.03/N29</f>
        <v>0.078585390724529</v>
      </c>
      <c r="U29" s="33" t="n">
        <f aca="false">MIN(S29,T29)</f>
        <v>0.025979192657996</v>
      </c>
      <c r="V29" s="33" t="n">
        <f aca="false">(_xlfn.XLOOKUP(L29+K29,'DGI TABLE'!$A$2:$A$91,'DGI TABLE'!$G$2:$G$91)-_xlfn.XLOOKUP(L29+F29,'DGI TABLE'!$A$2:$A$91,'DGI TABLE'!$G$2:$G$91))/_xlfn.XLOOKUP(L29+K29,'DGI TABLE'!$A$2:$A$91,'DGI TABLE'!$C$2:$C$91)</f>
        <v>0.17025054709277</v>
      </c>
      <c r="W29" s="33" t="n">
        <f aca="false">(_xlfn.XLOOKUP(L29+K29,'DGI TABLE'!$A$2:$A$91,'DGI TABLE'!$D$2:$D$91)-_xlfn.XLOOKUP(L29+H29,'DGI TABLE'!$A$2:$A$91,'DGI TABLE'!$D$2:$D$91))/_xlfn.XLOOKUP(L29+K29,'DGI TABLE'!$A$2:$A$91,'DGI TABLE'!$C$2:$C$91)</f>
        <v>3.67500793214747</v>
      </c>
      <c r="X29" s="33" t="n">
        <f aca="false">G29*(((1+J29*(K29-1))*V29)-(U29*W29))</f>
        <v>14667.4305971299</v>
      </c>
      <c r="Y29" s="32"/>
    </row>
    <row r="30" customFormat="false" ht="14.25" hidden="false" customHeight="false" outlineLevel="0" collapsed="false">
      <c r="A30" s="33" t="n">
        <v>29</v>
      </c>
      <c r="B30" s="33" t="s">
        <v>103</v>
      </c>
      <c r="C30" s="33" t="s">
        <v>217</v>
      </c>
      <c r="D30" s="33" t="n">
        <v>40</v>
      </c>
      <c r="E30" s="33" t="s">
        <v>39</v>
      </c>
      <c r="F30" s="33" t="n">
        <v>15</v>
      </c>
      <c r="G30" s="33" t="n">
        <v>100000</v>
      </c>
      <c r="H30" s="33" t="n">
        <v>5</v>
      </c>
      <c r="I30" s="33" t="s">
        <v>219</v>
      </c>
      <c r="J30" s="33" t="n">
        <v>0.05</v>
      </c>
      <c r="K30" s="33" t="n">
        <v>2</v>
      </c>
      <c r="L30" s="33" t="n">
        <f aca="false">IF(C30="F",D30-3,D30)</f>
        <v>40</v>
      </c>
      <c r="M30" s="33" t="n">
        <f aca="false">(_xlfn.XLOOKUP(L30,'DGI TABLE'!$A$2:$A$91,'DGI TABLE'!$G$2:$G$91)-_xlfn.XLOOKUP(L30+F30,'DGI TABLE'!$A$2:$A$91,'DGI TABLE'!$G$2:$G$91)+_xlfn.XLOOKUP(L30+F30,'DGI TABLE'!$A$2:$A$91,'DGI TABLE'!$C$2:$C$91))/_xlfn.XLOOKUP(L30,'DGI TABLE'!$A$2:$A$91,'DGI TABLE'!$C$2:$C$91)</f>
        <v>0.566389473124097</v>
      </c>
      <c r="N30" s="33" t="n">
        <f aca="false">(_xlfn.XLOOKUP(L30,'DGI TABLE'!$A$2:$A$91,'DGI TABLE'!$D$2:$D$91)-_xlfn.XLOOKUP(L30+H30,'DGI TABLE'!$A$2:$A$91,'DGI TABLE'!$D$2:$D$91))/_xlfn.XLOOKUP(L30,'DGI TABLE'!$A$2:$A$91,'DGI TABLE'!$C$2:$C$91)</f>
        <v>4.60373666481445</v>
      </c>
      <c r="O30" s="33" t="n">
        <f aca="false">M30/N30</f>
        <v>0.12302820824938</v>
      </c>
      <c r="P30" s="33" t="n">
        <f aca="false">(_xlfn.XLOOKUP(L30+1,'DGI TABLE'!$A$2:$A$91,'DGI TABLE'!$G$2:$G$91)-_xlfn.XLOOKUP(L30+F30,'DGI TABLE'!$A$2:$A$91,'DGI TABLE'!$G$2:$G$91))/_xlfn.XLOOKUP(L30+1,'DGI TABLE'!$A$2:$A$91,'DGI TABLE'!$C$2:$C$91)</f>
        <v>0.054266507411426</v>
      </c>
      <c r="Q30" s="33" t="n">
        <f aca="false">(_xlfn.XLOOKUP(L30+1,'DGI TABLE'!$A$2:$A$91,'DGI TABLE'!$D$2:$D$91)-_xlfn.XLOOKUP(L30+H30,'DGI TABLE'!$A$2:$A$91,'DGI TABLE'!$D$2:$D$91))/_xlfn.XLOOKUP(L30+1,'DGI TABLE'!$A$2:$A$91,'DGI TABLE'!$C$2:$C$91)</f>
        <v>3.75810801766619</v>
      </c>
      <c r="R30" s="33" t="n">
        <f aca="false">_xlfn.XLOOKUP(L30,'DGI TABLE'!$A$2:$A$91,'DGI TABLE'!$F$2:$F$91)/_xlfn.XLOOKUP(L30,'DGI TABLE'!$A$2:$A$91,'DGI TABLE'!$C$2:$C$91)</f>
        <v>0.00261538509968691</v>
      </c>
      <c r="S30" s="33" t="n">
        <f aca="false">P30/Q30</f>
        <v>0.0144398476989828</v>
      </c>
      <c r="T30" s="33" t="n">
        <f aca="false">O30+0.03/N30</f>
        <v>0.129544653950822</v>
      </c>
      <c r="U30" s="33" t="n">
        <f aca="false">MIN(S30,T30)</f>
        <v>0.0144398476989828</v>
      </c>
      <c r="V30" s="33" t="n">
        <f aca="false">(_xlfn.XLOOKUP(L30+K30,'DGI TABLE'!$A$2:$A$91,'DGI TABLE'!$G$2:$G$91)-_xlfn.XLOOKUP(L30+F30,'DGI TABLE'!$A$2:$A$91,'DGI TABLE'!$G$2:$G$91))/_xlfn.XLOOKUP(L30+K30,'DGI TABLE'!$A$2:$A$91,'DGI TABLE'!$C$2:$C$91)</f>
        <v>0.0536644041266406</v>
      </c>
      <c r="W30" s="33" t="n">
        <f aca="false">(_xlfn.XLOOKUP(L30+K30,'DGI TABLE'!$A$2:$A$91,'DGI TABLE'!$D$2:$D$91)-_xlfn.XLOOKUP(L30+H30,'DGI TABLE'!$A$2:$A$91,'DGI TABLE'!$D$2:$D$91))/_xlfn.XLOOKUP(L30+K30,'DGI TABLE'!$A$2:$A$91,'DGI TABLE'!$C$2:$C$91)</f>
        <v>2.87686164429946</v>
      </c>
      <c r="X30" s="33" t="n">
        <f aca="false">G30*(((1+J30*(K30-1))*V30)-(U30*W30))</f>
        <v>1480.61803382432</v>
      </c>
      <c r="Y30" s="32"/>
    </row>
    <row r="31" customFormat="false" ht="14.25" hidden="false" customHeight="false" outlineLevel="0" collapsed="false">
      <c r="A31" s="33" t="n">
        <v>30</v>
      </c>
      <c r="B31" s="33" t="s">
        <v>127</v>
      </c>
      <c r="C31" s="33" t="s">
        <v>217</v>
      </c>
      <c r="D31" s="33" t="n">
        <v>35</v>
      </c>
      <c r="E31" s="33" t="s">
        <v>39</v>
      </c>
      <c r="F31" s="33" t="n">
        <v>20</v>
      </c>
      <c r="G31" s="33" t="n">
        <v>175000</v>
      </c>
      <c r="H31" s="33" t="n">
        <v>15</v>
      </c>
      <c r="I31" s="33" t="s">
        <v>219</v>
      </c>
      <c r="J31" s="33" t="n">
        <v>0.05</v>
      </c>
      <c r="K31" s="33" t="n">
        <v>4</v>
      </c>
      <c r="L31" s="33" t="n">
        <f aca="false">IF(C31="F",D31-3,D31)</f>
        <v>35</v>
      </c>
      <c r="M31" s="33" t="n">
        <f aca="false">(_xlfn.XLOOKUP(L31,'DGI TABLE'!$A$2:$A$91,'DGI TABLE'!$G$2:$G$91)-_xlfn.XLOOKUP(L31+F31,'DGI TABLE'!$A$2:$A$91,'DGI TABLE'!$G$2:$G$91)+_xlfn.XLOOKUP(L31+F31,'DGI TABLE'!$A$2:$A$91,'DGI TABLE'!$C$2:$C$91))/_xlfn.XLOOKUP(L31,'DGI TABLE'!$A$2:$A$91,'DGI TABLE'!$C$2:$C$91)</f>
        <v>0.470287863944654</v>
      </c>
      <c r="N31" s="33" t="n">
        <f aca="false">(_xlfn.XLOOKUP(L31,'DGI TABLE'!$A$2:$A$91,'DGI TABLE'!$D$2:$D$91)-_xlfn.XLOOKUP(L31+H31,'DGI TABLE'!$A$2:$A$91,'DGI TABLE'!$D$2:$D$91))/_xlfn.XLOOKUP(L31,'DGI TABLE'!$A$2:$A$91,'DGI TABLE'!$C$2:$C$91)</f>
        <v>11.3680663713033</v>
      </c>
      <c r="O31" s="33" t="n">
        <f aca="false">M31/N31</f>
        <v>0.0413692046284857</v>
      </c>
      <c r="P31" s="33" t="n">
        <f aca="false">(_xlfn.XLOOKUP(L31+1,'DGI TABLE'!$A$2:$A$91,'DGI TABLE'!$G$2:$G$91)-_xlfn.XLOOKUP(L31+F31,'DGI TABLE'!$A$2:$A$91,'DGI TABLE'!$G$2:$G$91))/_xlfn.XLOOKUP(L31+1,'DGI TABLE'!$A$2:$A$91,'DGI TABLE'!$C$2:$C$91)</f>
        <v>0.0546976545115377</v>
      </c>
      <c r="Q31" s="33" t="n">
        <f aca="false">(_xlfn.XLOOKUP(L31+1,'DGI TABLE'!$A$2:$A$91,'DGI TABLE'!$D$2:$D$91)-_xlfn.XLOOKUP(L31+H31,'DGI TABLE'!$A$2:$A$91,'DGI TABLE'!$D$2:$D$91))/_xlfn.XLOOKUP(L31+1,'DGI TABLE'!$A$2:$A$91,'DGI TABLE'!$C$2:$C$91)</f>
        <v>10.8046142771196</v>
      </c>
      <c r="R31" s="33" t="n">
        <f aca="false">_xlfn.XLOOKUP(L31,'DGI TABLE'!$A$2:$A$91,'DGI TABLE'!$F$2:$F$91)/_xlfn.XLOOKUP(L31,'DGI TABLE'!$A$2:$A$91,'DGI TABLE'!$C$2:$C$91)</f>
        <v>0.00194230623469409</v>
      </c>
      <c r="S31" s="33" t="n">
        <f aca="false">P31/Q31</f>
        <v>0.0050624347254458</v>
      </c>
      <c r="T31" s="33" t="n">
        <f aca="false">O31+0.03/N31</f>
        <v>0.0440081758501642</v>
      </c>
      <c r="U31" s="33" t="n">
        <f aca="false">MIN(S31,T31)</f>
        <v>0.0050624347254458</v>
      </c>
      <c r="V31" s="33" t="n">
        <f aca="false">(_xlfn.XLOOKUP(L31+K31,'DGI TABLE'!$A$2:$A$91,'DGI TABLE'!$G$2:$G$91)-_xlfn.XLOOKUP(L31+F31,'DGI TABLE'!$A$2:$A$91,'DGI TABLE'!$G$2:$G$91))/_xlfn.XLOOKUP(L31+K31,'DGI TABLE'!$A$2:$A$91,'DGI TABLE'!$C$2:$C$91)</f>
        <v>0.0548595891334864</v>
      </c>
      <c r="W31" s="33" t="n">
        <f aca="false">(_xlfn.XLOOKUP(L31+K31,'DGI TABLE'!$A$2:$A$91,'DGI TABLE'!$D$2:$D$91)-_xlfn.XLOOKUP(L31+H31,'DGI TABLE'!$A$2:$A$91,'DGI TABLE'!$D$2:$D$91))/_xlfn.XLOOKUP(L31+K31,'DGI TABLE'!$A$2:$A$91,'DGI TABLE'!$C$2:$C$91)</f>
        <v>8.97494589056059</v>
      </c>
      <c r="X31" s="33" t="n">
        <f aca="false">G31*(((1+J31*(K31-1))*V31)-(U31*W31))</f>
        <v>3089.35370942421</v>
      </c>
      <c r="Y31" s="32"/>
    </row>
    <row r="32" customFormat="false" ht="14.25" hidden="false" customHeight="false" outlineLevel="0" collapsed="false">
      <c r="A32" s="33" t="n">
        <v>31</v>
      </c>
      <c r="B32" s="33" t="s">
        <v>140</v>
      </c>
      <c r="C32" s="33" t="s">
        <v>215</v>
      </c>
      <c r="D32" s="33" t="n">
        <v>59</v>
      </c>
      <c r="E32" s="33" t="s">
        <v>39</v>
      </c>
      <c r="F32" s="33" t="n">
        <v>5</v>
      </c>
      <c r="G32" s="33" t="n">
        <v>150000</v>
      </c>
      <c r="H32" s="33" t="n">
        <v>3</v>
      </c>
      <c r="I32" s="33" t="s">
        <v>219</v>
      </c>
      <c r="J32" s="33" t="n">
        <v>0.05</v>
      </c>
      <c r="K32" s="33" t="n">
        <v>3</v>
      </c>
      <c r="L32" s="33" t="n">
        <f aca="false">IF(C32="F",D32-3,D32)</f>
        <v>56</v>
      </c>
      <c r="M32" s="33" t="n">
        <f aca="false">(_xlfn.XLOOKUP(L32,'DGI TABLE'!$A$2:$A$91,'DGI TABLE'!$G$2:$G$91)-_xlfn.XLOOKUP(L32+F32,'DGI TABLE'!$A$2:$A$91,'DGI TABLE'!$G$2:$G$91)+_xlfn.XLOOKUP(L32+F32,'DGI TABLE'!$A$2:$A$91,'DGI TABLE'!$C$2:$C$91))/_xlfn.XLOOKUP(L32,'DGI TABLE'!$A$2:$A$91,'DGI TABLE'!$C$2:$C$91)</f>
        <v>0.826007529532269</v>
      </c>
      <c r="N32" s="33" t="n">
        <f aca="false">(_xlfn.XLOOKUP(L32,'DGI TABLE'!$A$2:$A$91,'DGI TABLE'!$D$2:$D$91)-_xlfn.XLOOKUP(L32+H32,'DGI TABLE'!$A$2:$A$91,'DGI TABLE'!$D$2:$D$91))/_xlfn.XLOOKUP(L32,'DGI TABLE'!$A$2:$A$91,'DGI TABLE'!$C$2:$C$91)</f>
        <v>2.85387091735886</v>
      </c>
      <c r="O32" s="33" t="n">
        <f aca="false">M32/N32</f>
        <v>0.289434089155198</v>
      </c>
      <c r="P32" s="33" t="n">
        <f aca="false">(_xlfn.XLOOKUP(L32+1,'DGI TABLE'!$A$2:$A$91,'DGI TABLE'!$G$2:$G$91)-_xlfn.XLOOKUP(L32+F32,'DGI TABLE'!$A$2:$A$91,'DGI TABLE'!$G$2:$G$91))/_xlfn.XLOOKUP(L32+1,'DGI TABLE'!$A$2:$A$91,'DGI TABLE'!$C$2:$C$91)</f>
        <v>0.04759176086438</v>
      </c>
      <c r="Q32" s="33" t="n">
        <f aca="false">(_xlfn.XLOOKUP(L32+1,'DGI TABLE'!$A$2:$A$91,'DGI TABLE'!$D$2:$D$91)-_xlfn.XLOOKUP(L32+H32,'DGI TABLE'!$A$2:$A$91,'DGI TABLE'!$D$2:$D$91))/_xlfn.XLOOKUP(L32+1,'DGI TABLE'!$A$2:$A$91,'DGI TABLE'!$C$2:$C$91)</f>
        <v>1.94990390599511</v>
      </c>
      <c r="R32" s="33" t="n">
        <f aca="false">_xlfn.XLOOKUP(L32,'DGI TABLE'!$A$2:$A$91,'DGI TABLE'!$F$2:$F$91)/_xlfn.XLOOKUP(L32,'DGI TABLE'!$A$2:$A$91,'DGI TABLE'!$C$2:$C$91)</f>
        <v>0.0107884613900858</v>
      </c>
      <c r="S32" s="33" t="n">
        <f aca="false">P32/Q32</f>
        <v>0.024407233976021</v>
      </c>
      <c r="T32" s="33" t="n">
        <f aca="false">O32+0.03/N32</f>
        <v>0.299946127319756</v>
      </c>
      <c r="U32" s="33" t="n">
        <f aca="false">MIN(S32,T32)</f>
        <v>0.024407233976021</v>
      </c>
      <c r="V32" s="33" t="n">
        <f aca="false">(_xlfn.XLOOKUP(L32+K32,'DGI TABLE'!$A$2:$A$91,'DGI TABLE'!$G$2:$G$91)-_xlfn.XLOOKUP(L32+F32,'DGI TABLE'!$A$2:$A$91,'DGI TABLE'!$G$2:$G$91))/_xlfn.XLOOKUP(L32+K32,'DGI TABLE'!$A$2:$A$91,'DGI TABLE'!$C$2:$C$91)</f>
        <v>0.0267641860783648</v>
      </c>
      <c r="W32" s="33" t="n">
        <f aca="false">(_xlfn.XLOOKUP(L32+K32,'DGI TABLE'!$A$2:$A$91,'DGI TABLE'!$D$2:$D$91)-_xlfn.XLOOKUP(L32+H32,'DGI TABLE'!$A$2:$A$91,'DGI TABLE'!$D$2:$D$91))/_xlfn.XLOOKUP(L32+K32,'DGI TABLE'!$A$2:$A$91,'DGI TABLE'!$C$2:$C$91)</f>
        <v>0</v>
      </c>
      <c r="X32" s="33" t="n">
        <f aca="false">G32*(((1+J32*(K32-1))*V32)-(U32*W32))</f>
        <v>4416.0907029302</v>
      </c>
      <c r="Y32" s="32"/>
    </row>
    <row r="33" customFormat="false" ht="14.25" hidden="false" customHeight="false" outlineLevel="0" collapsed="false">
      <c r="A33" s="33" t="n">
        <v>32</v>
      </c>
      <c r="B33" s="33" t="s">
        <v>133</v>
      </c>
      <c r="C33" s="33" t="s">
        <v>217</v>
      </c>
      <c r="D33" s="33" t="n">
        <v>32</v>
      </c>
      <c r="E33" s="33" t="s">
        <v>39</v>
      </c>
      <c r="F33" s="33" t="n">
        <v>20</v>
      </c>
      <c r="G33" s="33" t="n">
        <v>125000</v>
      </c>
      <c r="H33" s="33" t="n">
        <v>10</v>
      </c>
      <c r="I33" s="33" t="s">
        <v>219</v>
      </c>
      <c r="J33" s="33" t="n">
        <v>0.05</v>
      </c>
      <c r="K33" s="33" t="n">
        <v>4</v>
      </c>
      <c r="L33" s="33" t="n">
        <f aca="false">IF(C33="F",D33-3,D33)</f>
        <v>32</v>
      </c>
      <c r="M33" s="33" t="n">
        <f aca="false">(_xlfn.XLOOKUP(L33,'DGI TABLE'!$A$2:$A$91,'DGI TABLE'!$G$2:$G$91)-_xlfn.XLOOKUP(L33+F33,'DGI TABLE'!$A$2:$A$91,'DGI TABLE'!$G$2:$G$91)+_xlfn.XLOOKUP(L33+F33,'DGI TABLE'!$A$2:$A$91,'DGI TABLE'!$C$2:$C$91))/_xlfn.XLOOKUP(L33,'DGI TABLE'!$A$2:$A$91,'DGI TABLE'!$C$2:$C$91)</f>
        <v>0.46764547949053</v>
      </c>
      <c r="N33" s="33" t="n">
        <f aca="false">(_xlfn.XLOOKUP(L33,'DGI TABLE'!$A$2:$A$91,'DGI TABLE'!$D$2:$D$91)-_xlfn.XLOOKUP(L33+H33,'DGI TABLE'!$A$2:$A$91,'DGI TABLE'!$D$2:$D$91))/_xlfn.XLOOKUP(L33,'DGI TABLE'!$A$2:$A$91,'DGI TABLE'!$C$2:$C$91)</f>
        <v>8.36462878137792</v>
      </c>
      <c r="O33" s="33" t="n">
        <f aca="false">M33/N33</f>
        <v>0.05590749950932</v>
      </c>
      <c r="P33" s="33" t="n">
        <f aca="false">(_xlfn.XLOOKUP(L33+1,'DGI TABLE'!$A$2:$A$91,'DGI TABLE'!$G$2:$G$91)-_xlfn.XLOOKUP(L33+F33,'DGI TABLE'!$A$2:$A$91,'DGI TABLE'!$G$2:$G$91))/_xlfn.XLOOKUP(L33+1,'DGI TABLE'!$A$2:$A$91,'DGI TABLE'!$C$2:$C$91)</f>
        <v>0.0431627312173464</v>
      </c>
      <c r="Q33" s="33" t="n">
        <f aca="false">(_xlfn.XLOOKUP(L33+1,'DGI TABLE'!$A$2:$A$91,'DGI TABLE'!$D$2:$D$91)-_xlfn.XLOOKUP(L33+H33,'DGI TABLE'!$A$2:$A$91,'DGI TABLE'!$D$2:$D$91))/_xlfn.XLOOKUP(L33+1,'DGI TABLE'!$A$2:$A$91,'DGI TABLE'!$C$2:$C$91)</f>
        <v>7.67294866544991</v>
      </c>
      <c r="R33" s="33" t="n">
        <f aca="false">_xlfn.XLOOKUP(L33,'DGI TABLE'!$A$2:$A$91,'DGI TABLE'!$F$2:$F$91)/_xlfn.XLOOKUP(L33,'DGI TABLE'!$A$2:$A$91,'DGI TABLE'!$C$2:$C$91)</f>
        <v>0.00172115218892003</v>
      </c>
      <c r="S33" s="33" t="n">
        <f aca="false">P33/Q33</f>
        <v>0.00562531213217957</v>
      </c>
      <c r="T33" s="33" t="n">
        <f aca="false">O33+0.03/N33</f>
        <v>0.0594940304581636</v>
      </c>
      <c r="U33" s="33" t="n">
        <f aca="false">MIN(S33,T33)</f>
        <v>0.00562531213217957</v>
      </c>
      <c r="V33" s="33" t="n">
        <f aca="false">(_xlfn.XLOOKUP(L33+K33,'DGI TABLE'!$A$2:$A$91,'DGI TABLE'!$G$2:$G$91)-_xlfn.XLOOKUP(L33+F33,'DGI TABLE'!$A$2:$A$91,'DGI TABLE'!$G$2:$G$91))/_xlfn.XLOOKUP(L33+K33,'DGI TABLE'!$A$2:$A$91,'DGI TABLE'!$C$2:$C$91)</f>
        <v>0.0427830462730551</v>
      </c>
      <c r="W33" s="33" t="n">
        <f aca="false">(_xlfn.XLOOKUP(L33+K33,'DGI TABLE'!$A$2:$A$91,'DGI TABLE'!$D$2:$D$91)-_xlfn.XLOOKUP(L33+H33,'DGI TABLE'!$A$2:$A$91,'DGI TABLE'!$D$2:$D$91))/_xlfn.XLOOKUP(L33+K33,'DGI TABLE'!$A$2:$A$91,'DGI TABLE'!$C$2:$C$91)</f>
        <v>5.42187412391606</v>
      </c>
      <c r="X33" s="33" t="n">
        <f aca="false">G33*(((1+J33*(K33-1))*V33)-(U33*W33))</f>
        <v>2337.59611569973</v>
      </c>
      <c r="Y33" s="32"/>
    </row>
    <row r="34" customFormat="false" ht="14.25" hidden="false" customHeight="false" outlineLevel="0" collapsed="false">
      <c r="A34" s="33" t="n">
        <v>33</v>
      </c>
      <c r="B34" s="33" t="s">
        <v>150</v>
      </c>
      <c r="C34" s="33" t="s">
        <v>215</v>
      </c>
      <c r="D34" s="33" t="n">
        <v>52</v>
      </c>
      <c r="E34" s="33" t="s">
        <v>39</v>
      </c>
      <c r="F34" s="33" t="n">
        <v>25</v>
      </c>
      <c r="G34" s="33" t="n">
        <v>60000</v>
      </c>
      <c r="H34" s="33" t="n">
        <v>15</v>
      </c>
      <c r="I34" s="33" t="s">
        <v>219</v>
      </c>
      <c r="J34" s="33" t="n">
        <v>0.05</v>
      </c>
      <c r="K34" s="33" t="n">
        <v>9</v>
      </c>
      <c r="L34" s="33" t="n">
        <f aca="false">IF(C34="F",D34-3,D34)</f>
        <v>49</v>
      </c>
      <c r="M34" s="33" t="n">
        <f aca="false">(_xlfn.XLOOKUP(L34,'DGI TABLE'!$A$2:$A$91,'DGI TABLE'!$G$2:$G$91)-_xlfn.XLOOKUP(L34+F34,'DGI TABLE'!$A$2:$A$91,'DGI TABLE'!$G$2:$G$91)+_xlfn.XLOOKUP(L34+F34,'DGI TABLE'!$A$2:$A$91,'DGI TABLE'!$C$2:$C$91))/_xlfn.XLOOKUP(L34,'DGI TABLE'!$A$2:$A$91,'DGI TABLE'!$C$2:$C$91)</f>
        <v>0.44381626833557</v>
      </c>
      <c r="N34" s="33" t="n">
        <f aca="false">(_xlfn.XLOOKUP(L34,'DGI TABLE'!$A$2:$A$91,'DGI TABLE'!$D$2:$D$91)-_xlfn.XLOOKUP(L34+H34,'DGI TABLE'!$A$2:$A$91,'DGI TABLE'!$D$2:$D$91))/_xlfn.XLOOKUP(L34,'DGI TABLE'!$A$2:$A$91,'DGI TABLE'!$C$2:$C$91)</f>
        <v>10.9384141107255</v>
      </c>
      <c r="O34" s="33" t="n">
        <f aca="false">M34/N34</f>
        <v>0.0405740963765845</v>
      </c>
      <c r="P34" s="33" t="n">
        <f aca="false">(_xlfn.XLOOKUP(L34+1,'DGI TABLE'!$A$2:$A$91,'DGI TABLE'!$G$2:$G$91)-_xlfn.XLOOKUP(L34+F34,'DGI TABLE'!$A$2:$A$91,'DGI TABLE'!$G$2:$G$91))/_xlfn.XLOOKUP(L34+1,'DGI TABLE'!$A$2:$A$91,'DGI TABLE'!$C$2:$C$91)</f>
        <v>0.221842805658102</v>
      </c>
      <c r="Q34" s="33" t="n">
        <f aca="false">(_xlfn.XLOOKUP(L34+1,'DGI TABLE'!$A$2:$A$91,'DGI TABLE'!$D$2:$D$91)-_xlfn.XLOOKUP(L34+H34,'DGI TABLE'!$A$2:$A$91,'DGI TABLE'!$D$2:$D$91))/_xlfn.XLOOKUP(L34+1,'DGI TABLE'!$A$2:$A$91,'DGI TABLE'!$C$2:$C$91)</f>
        <v>10.3986552557275</v>
      </c>
      <c r="R34" s="33" t="n">
        <f aca="false">_xlfn.XLOOKUP(L34,'DGI TABLE'!$A$2:$A$91,'DGI TABLE'!$F$2:$F$91)/_xlfn.XLOOKUP(L34,'DGI TABLE'!$A$2:$A$91,'DGI TABLE'!$C$2:$C$91)</f>
        <v>0.00579807615190242</v>
      </c>
      <c r="S34" s="33" t="n">
        <f aca="false">P34/Q34</f>
        <v>0.0213337975153963</v>
      </c>
      <c r="T34" s="33" t="n">
        <f aca="false">O34+0.03/N34</f>
        <v>0.0433167243020151</v>
      </c>
      <c r="U34" s="33" t="n">
        <f aca="false">MIN(S34,T34)</f>
        <v>0.0213337975153963</v>
      </c>
      <c r="V34" s="33" t="n">
        <f aca="false">(_xlfn.XLOOKUP(L34+K34,'DGI TABLE'!$A$2:$A$91,'DGI TABLE'!$G$2:$G$91)-_xlfn.XLOOKUP(L34+F34,'DGI TABLE'!$A$2:$A$91,'DGI TABLE'!$G$2:$G$91))/_xlfn.XLOOKUP(L34+K34,'DGI TABLE'!$A$2:$A$91,'DGI TABLE'!$C$2:$C$91)</f>
        <v>0.240021935229884</v>
      </c>
      <c r="W34" s="33" t="n">
        <f aca="false">(_xlfn.XLOOKUP(L34+K34,'DGI TABLE'!$A$2:$A$91,'DGI TABLE'!$D$2:$D$91)-_xlfn.XLOOKUP(L34+H34,'DGI TABLE'!$A$2:$A$91,'DGI TABLE'!$D$2:$D$91))/_xlfn.XLOOKUP(L34+K34,'DGI TABLE'!$A$2:$A$91,'DGI TABLE'!$C$2:$C$91)</f>
        <v>5.27047165939437</v>
      </c>
      <c r="X34" s="33" t="n">
        <f aca="false">G34*(((1+J34*(K34-1))*V34)-(U34*W34))</f>
        <v>13415.492047781</v>
      </c>
      <c r="Y34" s="32"/>
    </row>
    <row r="35" customFormat="false" ht="14.25" hidden="false" customHeight="false" outlineLevel="0" collapsed="false">
      <c r="A35" s="33" t="n">
        <v>34</v>
      </c>
      <c r="B35" s="33" t="s">
        <v>151</v>
      </c>
      <c r="C35" s="33" t="s">
        <v>217</v>
      </c>
      <c r="D35" s="33" t="n">
        <v>20</v>
      </c>
      <c r="E35" s="33" t="s">
        <v>39</v>
      </c>
      <c r="F35" s="33" t="n">
        <v>15</v>
      </c>
      <c r="G35" s="33" t="n">
        <v>175000</v>
      </c>
      <c r="H35" s="33" t="n">
        <v>10</v>
      </c>
      <c r="I35" s="33" t="s">
        <v>219</v>
      </c>
      <c r="J35" s="33" t="n">
        <v>0.05</v>
      </c>
      <c r="K35" s="33" t="n">
        <v>6</v>
      </c>
      <c r="L35" s="33" t="n">
        <f aca="false">IF(C35="F",D35-3,D35)</f>
        <v>20</v>
      </c>
      <c r="M35" s="33" t="n">
        <f aca="false">(_xlfn.XLOOKUP(L35,'DGI TABLE'!$A$2:$A$91,'DGI TABLE'!$G$2:$G$91)-_xlfn.XLOOKUP(L35+F35,'DGI TABLE'!$A$2:$A$91,'DGI TABLE'!$G$2:$G$91)+_xlfn.XLOOKUP(L35+F35,'DGI TABLE'!$A$2:$A$91,'DGI TABLE'!$C$2:$C$91))/_xlfn.XLOOKUP(L35,'DGI TABLE'!$A$2:$A$91,'DGI TABLE'!$C$2:$C$91)</f>
        <v>0.560830870853937</v>
      </c>
      <c r="N35" s="33" t="n">
        <f aca="false">(_xlfn.XLOOKUP(L35,'DGI TABLE'!$A$2:$A$91,'DGI TABLE'!$D$2:$D$91)-_xlfn.XLOOKUP(L35+H35,'DGI TABLE'!$A$2:$A$91,'DGI TABLE'!$D$2:$D$91))/_xlfn.XLOOKUP(L35,'DGI TABLE'!$A$2:$A$91,'DGI TABLE'!$C$2:$C$91)</f>
        <v>8.36334859193884</v>
      </c>
      <c r="O35" s="33" t="n">
        <f aca="false">M35/N35</f>
        <v>0.0670581722965013</v>
      </c>
      <c r="P35" s="33" t="n">
        <f aca="false">(_xlfn.XLOOKUP(L35+1,'DGI TABLE'!$A$2:$A$91,'DGI TABLE'!$G$2:$G$91)-_xlfn.XLOOKUP(L35+F35,'DGI TABLE'!$A$2:$A$91,'DGI TABLE'!$G$2:$G$91))/_xlfn.XLOOKUP(L35+1,'DGI TABLE'!$A$2:$A$91,'DGI TABLE'!$C$2:$C$91)</f>
        <v>0.0205625899176161</v>
      </c>
      <c r="Q35" s="33" t="n">
        <f aca="false">(_xlfn.XLOOKUP(L35+1,'DGI TABLE'!$A$2:$A$91,'DGI TABLE'!$D$2:$D$91)-_xlfn.XLOOKUP(L35+H35,'DGI TABLE'!$A$2:$A$91,'DGI TABLE'!$D$2:$D$91))/_xlfn.XLOOKUP(L35+1,'DGI TABLE'!$A$2:$A$91,'DGI TABLE'!$C$2:$C$91)</f>
        <v>7.67246029806795</v>
      </c>
      <c r="R35" s="33" t="n">
        <f aca="false">_xlfn.XLOOKUP(L35,'DGI TABLE'!$A$2:$A$91,'DGI TABLE'!$F$2:$F$91)/_xlfn.XLOOKUP(L35,'DGI TABLE'!$A$2:$A$91,'DGI TABLE'!$C$2:$C$91)</f>
        <v>0.00182692296566983</v>
      </c>
      <c r="S35" s="33" t="n">
        <f aca="false">P35/Q35</f>
        <v>0.00268005165472073</v>
      </c>
      <c r="T35" s="33" t="n">
        <f aca="false">O35+0.03/N35</f>
        <v>0.0706452522406419</v>
      </c>
      <c r="U35" s="33" t="n">
        <f aca="false">MIN(S35,T35)</f>
        <v>0.00268005165472073</v>
      </c>
      <c r="V35" s="33" t="n">
        <f aca="false">(_xlfn.XLOOKUP(L35+K35,'DGI TABLE'!$A$2:$A$91,'DGI TABLE'!$G$2:$G$91)-_xlfn.XLOOKUP(L35+F35,'DGI TABLE'!$A$2:$A$91,'DGI TABLE'!$G$2:$G$91))/_xlfn.XLOOKUP(L35+K35,'DGI TABLE'!$A$2:$A$91,'DGI TABLE'!$C$2:$C$91)</f>
        <v>0.0137316121219855</v>
      </c>
      <c r="W35" s="33" t="n">
        <f aca="false">(_xlfn.XLOOKUP(L35+K35,'DGI TABLE'!$A$2:$A$91,'DGI TABLE'!$D$2:$D$91)-_xlfn.XLOOKUP(L35+H35,'DGI TABLE'!$A$2:$A$91,'DGI TABLE'!$D$2:$D$91))/_xlfn.XLOOKUP(L35+K35,'DGI TABLE'!$A$2:$A$91,'DGI TABLE'!$C$2:$C$91)</f>
        <v>3.76446533691547</v>
      </c>
      <c r="X35" s="33" t="n">
        <f aca="false">G35*(((1+J35*(K35-1))*V35)-(U35*W35))</f>
        <v>1238.22187949997</v>
      </c>
      <c r="Y35" s="32"/>
    </row>
    <row r="36" customFormat="false" ht="14.25" hidden="false" customHeight="false" outlineLevel="0" collapsed="false">
      <c r="A36" s="33" t="n">
        <v>35</v>
      </c>
      <c r="B36" s="33" t="s">
        <v>153</v>
      </c>
      <c r="C36" s="33" t="s">
        <v>217</v>
      </c>
      <c r="D36" s="33" t="n">
        <v>30</v>
      </c>
      <c r="E36" s="33" t="s">
        <v>39</v>
      </c>
      <c r="F36" s="33" t="n">
        <v>5</v>
      </c>
      <c r="G36" s="33" t="n">
        <v>100000</v>
      </c>
      <c r="H36" s="33" t="n">
        <v>3</v>
      </c>
      <c r="I36" s="33" t="s">
        <v>219</v>
      </c>
      <c r="J36" s="33" t="n">
        <v>0.05</v>
      </c>
      <c r="K36" s="33" t="n">
        <v>2</v>
      </c>
      <c r="L36" s="33" t="n">
        <f aca="false">IF(C36="F",D36-3,D36)</f>
        <v>30</v>
      </c>
      <c r="M36" s="33" t="n">
        <f aca="false">(_xlfn.XLOOKUP(L36,'DGI TABLE'!$A$2:$A$91,'DGI TABLE'!$G$2:$G$91)-_xlfn.XLOOKUP(L36+F36,'DGI TABLE'!$A$2:$A$91,'DGI TABLE'!$G$2:$G$91)+_xlfn.XLOOKUP(L36+F36,'DGI TABLE'!$A$2:$A$91,'DGI TABLE'!$C$2:$C$91))/_xlfn.XLOOKUP(L36,'DGI TABLE'!$A$2:$A$91,'DGI TABLE'!$C$2:$C$91)</f>
        <v>0.822537089557493</v>
      </c>
      <c r="N36" s="33" t="n">
        <f aca="false">(_xlfn.XLOOKUP(L36,'DGI TABLE'!$A$2:$A$91,'DGI TABLE'!$D$2:$D$91)-_xlfn.XLOOKUP(L36+H36,'DGI TABLE'!$A$2:$A$91,'DGI TABLE'!$D$2:$D$91))/_xlfn.XLOOKUP(L36,'DGI TABLE'!$A$2:$A$91,'DGI TABLE'!$C$2:$C$91)</f>
        <v>2.88110388806267</v>
      </c>
      <c r="O36" s="33" t="n">
        <f aca="false">M36/N36</f>
        <v>0.2854937279303</v>
      </c>
      <c r="P36" s="33" t="n">
        <f aca="false">(_xlfn.XLOOKUP(L36+1,'DGI TABLE'!$A$2:$A$91,'DGI TABLE'!$G$2:$G$91)-_xlfn.XLOOKUP(L36+F36,'DGI TABLE'!$A$2:$A$91,'DGI TABLE'!$G$2:$G$91))/_xlfn.XLOOKUP(L36+1,'DGI TABLE'!$A$2:$A$91,'DGI TABLE'!$C$2:$C$91)</f>
        <v>0.0066336086649637</v>
      </c>
      <c r="Q36" s="33" t="n">
        <f aca="false">(_xlfn.XLOOKUP(L36+1,'DGI TABLE'!$A$2:$A$91,'DGI TABLE'!$D$2:$D$91)-_xlfn.XLOOKUP(L36+H36,'DGI TABLE'!$A$2:$A$91,'DGI TABLE'!$D$2:$D$91))/_xlfn.XLOOKUP(L36+1,'DGI TABLE'!$A$2:$A$91,'DGI TABLE'!$C$2:$C$91)</f>
        <v>1.9598365586067</v>
      </c>
      <c r="R36" s="33" t="n">
        <f aca="false">_xlfn.XLOOKUP(L36,'DGI TABLE'!$A$2:$A$91,'DGI TABLE'!$F$2:$F$91)/_xlfn.XLOOKUP(L36,'DGI TABLE'!$A$2:$A$91,'DGI TABLE'!$C$2:$C$91)</f>
        <v>0.0017115393113604</v>
      </c>
      <c r="S36" s="33" t="n">
        <f aca="false">P36/Q36</f>
        <v>0.00338477646813553</v>
      </c>
      <c r="T36" s="33" t="n">
        <f aca="false">O36+0.03/N36</f>
        <v>0.295906403476051</v>
      </c>
      <c r="U36" s="33" t="n">
        <f aca="false">MIN(S36,T36)</f>
        <v>0.00338477646813553</v>
      </c>
      <c r="V36" s="33" t="n">
        <f aca="false">(_xlfn.XLOOKUP(L36+K36,'DGI TABLE'!$A$2:$A$91,'DGI TABLE'!$G$2:$G$91)-_xlfn.XLOOKUP(L36+F36,'DGI TABLE'!$A$2:$A$91,'DGI TABLE'!$G$2:$G$91))/_xlfn.XLOOKUP(L36+K36,'DGI TABLE'!$A$2:$A$91,'DGI TABLE'!$C$2:$C$91)</f>
        <v>0.00513804691083548</v>
      </c>
      <c r="W36" s="33" t="n">
        <f aca="false">(_xlfn.XLOOKUP(L36+K36,'DGI TABLE'!$A$2:$A$91,'DGI TABLE'!$D$2:$D$91)-_xlfn.XLOOKUP(L36+H36,'DGI TABLE'!$A$2:$A$91,'DGI TABLE'!$D$2:$D$91))/_xlfn.XLOOKUP(L36+K36,'DGI TABLE'!$A$2:$A$91,'DGI TABLE'!$C$2:$C$91)</f>
        <v>1</v>
      </c>
      <c r="X36" s="33" t="n">
        <f aca="false">G36*(((1+J36*(K36-1))*V36)-(U36*W36))</f>
        <v>201.017278824172</v>
      </c>
      <c r="Y36" s="32"/>
    </row>
    <row r="37" customFormat="false" ht="14.25" hidden="false" customHeight="false" outlineLevel="0" collapsed="false">
      <c r="A37" s="33" t="n">
        <v>36</v>
      </c>
      <c r="B37" s="33" t="s">
        <v>161</v>
      </c>
      <c r="C37" s="33" t="s">
        <v>217</v>
      </c>
      <c r="D37" s="33" t="n">
        <v>52</v>
      </c>
      <c r="E37" s="33" t="s">
        <v>39</v>
      </c>
      <c r="F37" s="33" t="n">
        <v>5</v>
      </c>
      <c r="G37" s="33" t="n">
        <v>150000</v>
      </c>
      <c r="H37" s="33" t="n">
        <v>4</v>
      </c>
      <c r="I37" s="33" t="s">
        <v>219</v>
      </c>
      <c r="J37" s="33" t="n">
        <v>0.05</v>
      </c>
      <c r="K37" s="33" t="n">
        <v>3</v>
      </c>
      <c r="L37" s="33" t="n">
        <f aca="false">IF(C37="F",D37-3,D37)</f>
        <v>52</v>
      </c>
      <c r="M37" s="33" t="n">
        <f aca="false">(_xlfn.XLOOKUP(L37,'DGI TABLE'!$A$2:$A$91,'DGI TABLE'!$G$2:$G$91)-_xlfn.XLOOKUP(L37+F37,'DGI TABLE'!$A$2:$A$91,'DGI TABLE'!$G$2:$G$91)+_xlfn.XLOOKUP(L37+F37,'DGI TABLE'!$A$2:$A$91,'DGI TABLE'!$C$2:$C$91))/_xlfn.XLOOKUP(L37,'DGI TABLE'!$A$2:$A$91,'DGI TABLE'!$C$2:$C$91)</f>
        <v>0.824866616105814</v>
      </c>
      <c r="N37" s="33" t="n">
        <f aca="false">(_xlfn.XLOOKUP(L37,'DGI TABLE'!$A$2:$A$91,'DGI TABLE'!$D$2:$D$91)-_xlfn.XLOOKUP(L37+H37,'DGI TABLE'!$A$2:$A$91,'DGI TABLE'!$D$2:$D$91))/_xlfn.XLOOKUP(L37,'DGI TABLE'!$A$2:$A$91,'DGI TABLE'!$C$2:$C$91)</f>
        <v>3.72931520635685</v>
      </c>
      <c r="O37" s="33" t="n">
        <f aca="false">M37/N37</f>
        <v>0.221184472339527</v>
      </c>
      <c r="P37" s="33" t="n">
        <f aca="false">(_xlfn.XLOOKUP(L37+1,'DGI TABLE'!$A$2:$A$91,'DGI TABLE'!$G$2:$G$91)-_xlfn.XLOOKUP(L37+F37,'DGI TABLE'!$A$2:$A$91,'DGI TABLE'!$G$2:$G$91))/_xlfn.XLOOKUP(L37+1,'DGI TABLE'!$A$2:$A$91,'DGI TABLE'!$C$2:$C$91)</f>
        <v>0.0353357803973115</v>
      </c>
      <c r="Q37" s="33" t="n">
        <f aca="false">(_xlfn.XLOOKUP(L37+1,'DGI TABLE'!$A$2:$A$91,'DGI TABLE'!$D$2:$D$91)-_xlfn.XLOOKUP(L37+H37,'DGI TABLE'!$A$2:$A$91,'DGI TABLE'!$D$2:$D$91))/_xlfn.XLOOKUP(L37+1,'DGI TABLE'!$A$2:$A$91,'DGI TABLE'!$C$2:$C$91)</f>
        <v>2.86109061081747</v>
      </c>
      <c r="R37" s="33" t="n">
        <f aca="false">_xlfn.XLOOKUP(L37,'DGI TABLE'!$A$2:$A$91,'DGI TABLE'!$F$2:$F$91)/_xlfn.XLOOKUP(L37,'DGI TABLE'!$A$2:$A$91,'DGI TABLE'!$C$2:$C$91)</f>
        <v>0.00759614940096045</v>
      </c>
      <c r="S37" s="33" t="n">
        <f aca="false">P37/Q37</f>
        <v>0.0123504583405051</v>
      </c>
      <c r="T37" s="33" t="n">
        <f aca="false">O37+0.03/N37</f>
        <v>0.229228844654547</v>
      </c>
      <c r="U37" s="33" t="n">
        <f aca="false">MIN(S37,T37)</f>
        <v>0.0123504583405051</v>
      </c>
      <c r="V37" s="33" t="n">
        <f aca="false">(_xlfn.XLOOKUP(L37+K37,'DGI TABLE'!$A$2:$A$91,'DGI TABLE'!$G$2:$G$91)-_xlfn.XLOOKUP(L37+F37,'DGI TABLE'!$A$2:$A$91,'DGI TABLE'!$G$2:$G$91))/_xlfn.XLOOKUP(L37+K37,'DGI TABLE'!$A$2:$A$91,'DGI TABLE'!$C$2:$C$91)</f>
        <v>0.0201990536759922</v>
      </c>
      <c r="W37" s="33" t="n">
        <f aca="false">(_xlfn.XLOOKUP(L37+K37,'DGI TABLE'!$A$2:$A$91,'DGI TABLE'!$D$2:$D$91)-_xlfn.XLOOKUP(L37+H37,'DGI TABLE'!$A$2:$A$91,'DGI TABLE'!$D$2:$D$91))/_xlfn.XLOOKUP(L37+K37,'DGI TABLE'!$A$2:$A$91,'DGI TABLE'!$C$2:$C$91)</f>
        <v>1</v>
      </c>
      <c r="X37" s="33" t="n">
        <f aca="false">G37*(((1+J37*(K37-1))*V37)-(U37*W37))</f>
        <v>1480.27510546295</v>
      </c>
      <c r="Y37" s="32"/>
    </row>
    <row r="38" customFormat="false" ht="14.25" hidden="false" customHeight="false" outlineLevel="0" collapsed="false">
      <c r="A38" s="33" t="n">
        <v>37</v>
      </c>
      <c r="B38" s="33" t="s">
        <v>163</v>
      </c>
      <c r="C38" s="33" t="s">
        <v>217</v>
      </c>
      <c r="D38" s="33" t="n">
        <v>47</v>
      </c>
      <c r="E38" s="33" t="s">
        <v>39</v>
      </c>
      <c r="F38" s="33" t="n">
        <v>15</v>
      </c>
      <c r="G38" s="33" t="n">
        <v>125000</v>
      </c>
      <c r="H38" s="33" t="n">
        <v>5</v>
      </c>
      <c r="I38" s="33" t="s">
        <v>219</v>
      </c>
      <c r="J38" s="33" t="n">
        <v>0.05</v>
      </c>
      <c r="K38" s="33" t="n">
        <v>3</v>
      </c>
      <c r="L38" s="33" t="n">
        <f aca="false">IF(C38="F",D38-3,D38)</f>
        <v>47</v>
      </c>
      <c r="M38" s="33" t="n">
        <f aca="false">(_xlfn.XLOOKUP(L38,'DGI TABLE'!$A$2:$A$91,'DGI TABLE'!$G$2:$G$91)-_xlfn.XLOOKUP(L38+F38,'DGI TABLE'!$A$2:$A$91,'DGI TABLE'!$G$2:$G$91)+_xlfn.XLOOKUP(L38+F38,'DGI TABLE'!$A$2:$A$91,'DGI TABLE'!$C$2:$C$91))/_xlfn.XLOOKUP(L38,'DGI TABLE'!$A$2:$A$91,'DGI TABLE'!$C$2:$C$91)</f>
        <v>0.575680053379698</v>
      </c>
      <c r="N38" s="33" t="n">
        <f aca="false">(_xlfn.XLOOKUP(L38,'DGI TABLE'!$A$2:$A$91,'DGI TABLE'!$D$2:$D$91)-_xlfn.XLOOKUP(L38+H38,'DGI TABLE'!$A$2:$A$91,'DGI TABLE'!$D$2:$D$91))/_xlfn.XLOOKUP(L38,'DGI TABLE'!$A$2:$A$91,'DGI TABLE'!$C$2:$C$91)</f>
        <v>4.58095642279297</v>
      </c>
      <c r="O38" s="33" t="n">
        <f aca="false">M38/N38</f>
        <v>0.125668092041948</v>
      </c>
      <c r="P38" s="33" t="n">
        <f aca="false">(_xlfn.XLOOKUP(L38+1,'DGI TABLE'!$A$2:$A$91,'DGI TABLE'!$G$2:$G$91)-_xlfn.XLOOKUP(L38+F38,'DGI TABLE'!$A$2:$A$91,'DGI TABLE'!$G$2:$G$91))/_xlfn.XLOOKUP(L38+1,'DGI TABLE'!$A$2:$A$91,'DGI TABLE'!$C$2:$C$91)</f>
        <v>0.0963201273126218</v>
      </c>
      <c r="Q38" s="33" t="n">
        <f aca="false">(_xlfn.XLOOKUP(L38+1,'DGI TABLE'!$A$2:$A$91,'DGI TABLE'!$D$2:$D$91)-_xlfn.XLOOKUP(L38+H38,'DGI TABLE'!$A$2:$A$91,'DGI TABLE'!$D$2:$D$91))/_xlfn.XLOOKUP(L38+1,'DGI TABLE'!$A$2:$A$91,'DGI TABLE'!$C$2:$C$91)</f>
        <v>3.74309727594584</v>
      </c>
      <c r="R38" s="33" t="n">
        <f aca="false">_xlfn.XLOOKUP(L38,'DGI TABLE'!$A$2:$A$91,'DGI TABLE'!$F$2:$F$91)/_xlfn.XLOOKUP(L38,'DGI TABLE'!$A$2:$A$91,'DGI TABLE'!$C$2:$C$91)</f>
        <v>0.00485577137157463</v>
      </c>
      <c r="S38" s="33" t="n">
        <f aca="false">P38/Q38</f>
        <v>0.0257327342069364</v>
      </c>
      <c r="T38" s="33" t="n">
        <f aca="false">O38+0.03/N38</f>
        <v>0.132216942812658</v>
      </c>
      <c r="U38" s="33" t="n">
        <f aca="false">MIN(S38,T38)</f>
        <v>0.0257327342069364</v>
      </c>
      <c r="V38" s="33" t="n">
        <f aca="false">(_xlfn.XLOOKUP(L38+K38,'DGI TABLE'!$A$2:$A$91,'DGI TABLE'!$G$2:$G$91)-_xlfn.XLOOKUP(L38+F38,'DGI TABLE'!$A$2:$A$91,'DGI TABLE'!$G$2:$G$91))/_xlfn.XLOOKUP(L38+K38,'DGI TABLE'!$A$2:$A$91,'DGI TABLE'!$C$2:$C$91)</f>
        <v>0.0935193772113226</v>
      </c>
      <c r="W38" s="33" t="n">
        <f aca="false">(_xlfn.XLOOKUP(L38+K38,'DGI TABLE'!$A$2:$A$91,'DGI TABLE'!$D$2:$D$91)-_xlfn.XLOOKUP(L38+H38,'DGI TABLE'!$A$2:$A$91,'DGI TABLE'!$D$2:$D$91))/_xlfn.XLOOKUP(L38+K38,'DGI TABLE'!$A$2:$A$91,'DGI TABLE'!$C$2:$C$91)</f>
        <v>1.95519240249965</v>
      </c>
      <c r="X38" s="33" t="n">
        <f aca="false">G38*(((1+J38*(K38-1))*V38)-(U38*W38))</f>
        <v>6569.85856443874</v>
      </c>
      <c r="Y38" s="32"/>
    </row>
    <row r="39" customFormat="false" ht="14.25" hidden="false" customHeight="false" outlineLevel="0" collapsed="false">
      <c r="A39" s="33" t="n">
        <v>38</v>
      </c>
      <c r="B39" s="33" t="s">
        <v>169</v>
      </c>
      <c r="C39" s="33" t="s">
        <v>217</v>
      </c>
      <c r="D39" s="33" t="n">
        <v>20</v>
      </c>
      <c r="E39" s="33" t="s">
        <v>39</v>
      </c>
      <c r="F39" s="33" t="n">
        <v>5</v>
      </c>
      <c r="G39" s="33" t="n">
        <v>50000</v>
      </c>
      <c r="H39" s="33" t="n">
        <v>4</v>
      </c>
      <c r="I39" s="33" t="s">
        <v>219</v>
      </c>
      <c r="J39" s="33" t="n">
        <v>0.05</v>
      </c>
      <c r="K39" s="33" t="n">
        <v>3</v>
      </c>
      <c r="L39" s="33" t="n">
        <f aca="false">IF(C39="F",D39-3,D39)</f>
        <v>20</v>
      </c>
      <c r="M39" s="33" t="n">
        <f aca="false">(_xlfn.XLOOKUP(L39,'DGI TABLE'!$A$2:$A$91,'DGI TABLE'!$G$2:$G$91)-_xlfn.XLOOKUP(L39+F39,'DGI TABLE'!$A$2:$A$91,'DGI TABLE'!$G$2:$G$91)+_xlfn.XLOOKUP(L39+F39,'DGI TABLE'!$A$2:$A$91,'DGI TABLE'!$C$2:$C$91))/_xlfn.XLOOKUP(L39,'DGI TABLE'!$A$2:$A$91,'DGI TABLE'!$C$2:$C$91)</f>
        <v>0.82262193066751</v>
      </c>
      <c r="N39" s="33" t="n">
        <f aca="false">(_xlfn.XLOOKUP(L39,'DGI TABLE'!$A$2:$A$91,'DGI TABLE'!$D$2:$D$91)-_xlfn.XLOOKUP(L39+H39,'DGI TABLE'!$A$2:$A$91,'DGI TABLE'!$D$2:$D$91))/_xlfn.XLOOKUP(L39,'DGI TABLE'!$A$2:$A$91,'DGI TABLE'!$C$2:$C$91)</f>
        <v>3.76413225536946</v>
      </c>
      <c r="O39" s="33" t="n">
        <f aca="false">M39/N39</f>
        <v>0.218542249543452</v>
      </c>
      <c r="P39" s="33" t="n">
        <f aca="false">(_xlfn.XLOOKUP(L39+1,'DGI TABLE'!$A$2:$A$91,'DGI TABLE'!$G$2:$G$91)-_xlfn.XLOOKUP(L39+F39,'DGI TABLE'!$A$2:$A$91,'DGI TABLE'!$G$2:$G$91))/_xlfn.XLOOKUP(L39+1,'DGI TABLE'!$A$2:$A$91,'DGI TABLE'!$C$2:$C$91)</f>
        <v>0.00773278341015941</v>
      </c>
      <c r="Q39" s="33" t="n">
        <f aca="false">(_xlfn.XLOOKUP(L39+1,'DGI TABLE'!$A$2:$A$91,'DGI TABLE'!$D$2:$D$91)-_xlfn.XLOOKUP(L39+H39,'DGI TABLE'!$A$2:$A$91,'DGI TABLE'!$D$2:$D$91))/_xlfn.XLOOKUP(L39+1,'DGI TABLE'!$A$2:$A$91,'DGI TABLE'!$C$2:$C$91)</f>
        <v>2.88016990138817</v>
      </c>
      <c r="R39" s="33" t="n">
        <f aca="false">_xlfn.XLOOKUP(L39,'DGI TABLE'!$A$2:$A$91,'DGI TABLE'!$F$2:$F$91)/_xlfn.XLOOKUP(L39,'DGI TABLE'!$A$2:$A$91,'DGI TABLE'!$C$2:$C$91)</f>
        <v>0.00182692296566983</v>
      </c>
      <c r="S39" s="33" t="n">
        <f aca="false">P39/Q39</f>
        <v>0.00268483585167403</v>
      </c>
      <c r="T39" s="33" t="n">
        <f aca="false">O39+0.03/N39</f>
        <v>0.226512213924275</v>
      </c>
      <c r="U39" s="33" t="n">
        <f aca="false">MIN(S39,T39)</f>
        <v>0.00268483585167403</v>
      </c>
      <c r="V39" s="33" t="n">
        <f aca="false">(_xlfn.XLOOKUP(L39+K39,'DGI TABLE'!$A$2:$A$91,'DGI TABLE'!$G$2:$G$91)-_xlfn.XLOOKUP(L39+F39,'DGI TABLE'!$A$2:$A$91,'DGI TABLE'!$G$2:$G$91))/_xlfn.XLOOKUP(L39+K39,'DGI TABLE'!$A$2:$A$91,'DGI TABLE'!$C$2:$C$91)</f>
        <v>0.00404271519814023</v>
      </c>
      <c r="W39" s="33" t="n">
        <f aca="false">(_xlfn.XLOOKUP(L39+K39,'DGI TABLE'!$A$2:$A$91,'DGI TABLE'!$D$2:$D$91)-_xlfn.XLOOKUP(L39+H39,'DGI TABLE'!$A$2:$A$91,'DGI TABLE'!$D$2:$D$91))/_xlfn.XLOOKUP(L39+K39,'DGI TABLE'!$A$2:$A$91,'DGI TABLE'!$C$2:$C$91)</f>
        <v>1</v>
      </c>
      <c r="X39" s="33" t="n">
        <f aca="false">G39*(((1+J39*(K39-1))*V39)-(U39*W39))</f>
        <v>88.107543314011</v>
      </c>
      <c r="Y39" s="32"/>
    </row>
    <row r="40" customFormat="false" ht="14.25" hidden="false" customHeight="false" outlineLevel="0" collapsed="false">
      <c r="A40" s="33" t="n">
        <v>39</v>
      </c>
      <c r="B40" s="33" t="s">
        <v>174</v>
      </c>
      <c r="C40" s="33" t="s">
        <v>215</v>
      </c>
      <c r="D40" s="33" t="n">
        <v>56</v>
      </c>
      <c r="E40" s="33" t="s">
        <v>39</v>
      </c>
      <c r="F40" s="33" t="n">
        <v>20</v>
      </c>
      <c r="G40" s="33" t="n">
        <v>100000</v>
      </c>
      <c r="H40" s="33" t="n">
        <v>10</v>
      </c>
      <c r="I40" s="33" t="s">
        <v>219</v>
      </c>
      <c r="J40" s="33" t="n">
        <v>0.05</v>
      </c>
      <c r="K40" s="33" t="n">
        <v>9</v>
      </c>
      <c r="L40" s="33" t="n">
        <f aca="false">IF(C40="F",D40-3,D40)</f>
        <v>53</v>
      </c>
      <c r="M40" s="33" t="n">
        <f aca="false">(_xlfn.XLOOKUP(L40,'DGI TABLE'!$A$2:$A$91,'DGI TABLE'!$G$2:$G$91)-_xlfn.XLOOKUP(L40+F40,'DGI TABLE'!$A$2:$A$91,'DGI TABLE'!$G$2:$G$91)+_xlfn.XLOOKUP(L40+F40,'DGI TABLE'!$A$2:$A$91,'DGI TABLE'!$C$2:$C$91))/_xlfn.XLOOKUP(L40,'DGI TABLE'!$A$2:$A$91,'DGI TABLE'!$C$2:$C$91)</f>
        <v>0.515429339203549</v>
      </c>
      <c r="N40" s="33" t="n">
        <f aca="false">(_xlfn.XLOOKUP(L40,'DGI TABLE'!$A$2:$A$91,'DGI TABLE'!$D$2:$D$91)-_xlfn.XLOOKUP(L40+H40,'DGI TABLE'!$A$2:$A$91,'DGI TABLE'!$D$2:$D$91))/_xlfn.XLOOKUP(L40,'DGI TABLE'!$A$2:$A$91,'DGI TABLE'!$C$2:$C$91)</f>
        <v>8.06402009752405</v>
      </c>
      <c r="O40" s="33" t="n">
        <f aca="false">M40/N40</f>
        <v>0.0639171694725568</v>
      </c>
      <c r="P40" s="33" t="n">
        <f aca="false">(_xlfn.XLOOKUP(L40+1,'DGI TABLE'!$A$2:$A$91,'DGI TABLE'!$G$2:$G$91)-_xlfn.XLOOKUP(L40+F40,'DGI TABLE'!$A$2:$A$91,'DGI TABLE'!$G$2:$G$91))/_xlfn.XLOOKUP(L40+1,'DGI TABLE'!$A$2:$A$91,'DGI TABLE'!$C$2:$C$91)</f>
        <v>0.22058784284249</v>
      </c>
      <c r="Q40" s="33" t="n">
        <f aca="false">(_xlfn.XLOOKUP(L40+1,'DGI TABLE'!$A$2:$A$91,'DGI TABLE'!$D$2:$D$91)-_xlfn.XLOOKUP(L40+H40,'DGI TABLE'!$A$2:$A$91,'DGI TABLE'!$D$2:$D$91))/_xlfn.XLOOKUP(L40+1,'DGI TABLE'!$A$2:$A$91,'DGI TABLE'!$C$2:$C$91)</f>
        <v>7.41075837319173</v>
      </c>
      <c r="R40" s="33" t="n">
        <f aca="false">_xlfn.XLOOKUP(L40,'DGI TABLE'!$A$2:$A$91,'DGI TABLE'!$F$2:$F$91)/_xlfn.XLOOKUP(L40,'DGI TABLE'!$A$2:$A$91,'DGI TABLE'!$C$2:$C$91)</f>
        <v>0.00832692652241366</v>
      </c>
      <c r="S40" s="33" t="n">
        <f aca="false">P40/Q40</f>
        <v>0.0297658932775979</v>
      </c>
      <c r="T40" s="33" t="n">
        <f aca="false">O40+0.03/N40</f>
        <v>0.0676373982960454</v>
      </c>
      <c r="U40" s="33" t="n">
        <f aca="false">MIN(S40,T40)</f>
        <v>0.0297658932775979</v>
      </c>
      <c r="V40" s="33" t="n">
        <f aca="false">(_xlfn.XLOOKUP(L40+K40,'DGI TABLE'!$A$2:$A$91,'DGI TABLE'!$G$2:$G$91)-_xlfn.XLOOKUP(L40+F40,'DGI TABLE'!$A$2:$A$91,'DGI TABLE'!$G$2:$G$91))/_xlfn.XLOOKUP(L40+K40,'DGI TABLE'!$A$2:$A$91,'DGI TABLE'!$C$2:$C$91)</f>
        <v>0.212820468418175</v>
      </c>
      <c r="W40" s="33" t="n">
        <f aca="false">(_xlfn.XLOOKUP(L40+K40,'DGI TABLE'!$A$2:$A$91,'DGI TABLE'!$D$2:$D$91)-_xlfn.XLOOKUP(L40+H40,'DGI TABLE'!$A$2:$A$91,'DGI TABLE'!$D$2:$D$91))/_xlfn.XLOOKUP(L40+K40,'DGI TABLE'!$A$2:$A$91,'DGI TABLE'!$C$2:$C$91)</f>
        <v>0.999999999999999</v>
      </c>
      <c r="X40" s="33" t="n">
        <f aca="false">G40*(((1+J40*(K40-1))*V40)-(U40*W40))</f>
        <v>26818.2762507847</v>
      </c>
      <c r="Y40" s="32"/>
    </row>
    <row r="41" customFormat="false" ht="14.25" hidden="false" customHeight="false" outlineLevel="0" collapsed="false">
      <c r="A41" s="33" t="n">
        <v>40</v>
      </c>
      <c r="B41" s="33" t="s">
        <v>177</v>
      </c>
      <c r="C41" s="33" t="s">
        <v>217</v>
      </c>
      <c r="D41" s="33" t="n">
        <v>57</v>
      </c>
      <c r="E41" s="33" t="s">
        <v>39</v>
      </c>
      <c r="F41" s="33" t="n">
        <v>10</v>
      </c>
      <c r="G41" s="33" t="n">
        <v>100000</v>
      </c>
      <c r="H41" s="33" t="n">
        <v>5</v>
      </c>
      <c r="I41" s="33" t="s">
        <v>219</v>
      </c>
      <c r="J41" s="33" t="n">
        <v>0.05</v>
      </c>
      <c r="K41" s="33" t="n">
        <v>3</v>
      </c>
      <c r="L41" s="33" t="n">
        <f aca="false">IF(C41="F",D41-3,D41)</f>
        <v>57</v>
      </c>
      <c r="M41" s="33" t="n">
        <f aca="false">(_xlfn.XLOOKUP(L41,'DGI TABLE'!$A$2:$A$91,'DGI TABLE'!$G$2:$G$91)-_xlfn.XLOOKUP(L41+F41,'DGI TABLE'!$A$2:$A$91,'DGI TABLE'!$G$2:$G$91)+_xlfn.XLOOKUP(L41+F41,'DGI TABLE'!$A$2:$A$91,'DGI TABLE'!$C$2:$C$91))/_xlfn.XLOOKUP(L41,'DGI TABLE'!$A$2:$A$91,'DGI TABLE'!$C$2:$C$91)</f>
        <v>0.694756705332738</v>
      </c>
      <c r="N41" s="33" t="n">
        <f aca="false">(_xlfn.XLOOKUP(L41,'DGI TABLE'!$A$2:$A$91,'DGI TABLE'!$D$2:$D$91)-_xlfn.XLOOKUP(L41+H41,'DGI TABLE'!$A$2:$A$91,'DGI TABLE'!$D$2:$D$91))/_xlfn.XLOOKUP(L41,'DGI TABLE'!$A$2:$A$91,'DGI TABLE'!$C$2:$C$91)</f>
        <v>4.51619648687995</v>
      </c>
      <c r="O41" s="33" t="n">
        <f aca="false">M41/N41</f>
        <v>0.153836686988948</v>
      </c>
      <c r="P41" s="33" t="n">
        <f aca="false">(_xlfn.XLOOKUP(L41+1,'DGI TABLE'!$A$2:$A$91,'DGI TABLE'!$G$2:$G$91)-_xlfn.XLOOKUP(L41+F41,'DGI TABLE'!$A$2:$A$91,'DGI TABLE'!$G$2:$G$91))/_xlfn.XLOOKUP(L41+1,'DGI TABLE'!$A$2:$A$91,'DGI TABLE'!$C$2:$C$91)</f>
        <v>0.123001836209638</v>
      </c>
      <c r="Q41" s="33" t="n">
        <f aca="false">(_xlfn.XLOOKUP(L41+1,'DGI TABLE'!$A$2:$A$91,'DGI TABLE'!$D$2:$D$91)-_xlfn.XLOOKUP(L41+H41,'DGI TABLE'!$A$2:$A$91,'DGI TABLE'!$D$2:$D$91))/_xlfn.XLOOKUP(L41+1,'DGI TABLE'!$A$2:$A$91,'DGI TABLE'!$C$2:$C$91)</f>
        <v>3.70163388600492</v>
      </c>
      <c r="R41" s="33" t="n">
        <f aca="false">_xlfn.XLOOKUP(L41,'DGI TABLE'!$A$2:$A$91,'DGI TABLE'!$F$2:$F$91)/_xlfn.XLOOKUP(L41,'DGI TABLE'!$A$2:$A$91,'DGI TABLE'!$C$2:$C$91)</f>
        <v>0.011634617968071</v>
      </c>
      <c r="S41" s="33" t="n">
        <f aca="false">P41/Q41</f>
        <v>0.0332290658659361</v>
      </c>
      <c r="T41" s="33" t="n">
        <f aca="false">O41+0.03/N41</f>
        <v>0.160479444913045</v>
      </c>
      <c r="U41" s="33" t="n">
        <f aca="false">MIN(S41,T41)</f>
        <v>0.0332290658659361</v>
      </c>
      <c r="V41" s="33" t="n">
        <f aca="false">(_xlfn.XLOOKUP(L41+K41,'DGI TABLE'!$A$2:$A$91,'DGI TABLE'!$G$2:$G$91)-_xlfn.XLOOKUP(L41+F41,'DGI TABLE'!$A$2:$A$91,'DGI TABLE'!$G$2:$G$91))/_xlfn.XLOOKUP(L41+K41,'DGI TABLE'!$A$2:$A$91,'DGI TABLE'!$C$2:$C$91)</f>
        <v>0.108832521391483</v>
      </c>
      <c r="W41" s="33" t="n">
        <f aca="false">(_xlfn.XLOOKUP(L41+K41,'DGI TABLE'!$A$2:$A$91,'DGI TABLE'!$D$2:$D$91)-_xlfn.XLOOKUP(L41+H41,'DGI TABLE'!$A$2:$A$91,'DGI TABLE'!$D$2:$D$91))/_xlfn.XLOOKUP(L41+K41,'DGI TABLE'!$A$2:$A$91,'DGI TABLE'!$C$2:$C$91)</f>
        <v>1.94731723098517</v>
      </c>
      <c r="X41" s="33" t="n">
        <f aca="false">G41*(((1+J41*(K41-1))*V41)-(U41*W41))</f>
        <v>5500.82410003529</v>
      </c>
      <c r="Y41" s="32"/>
    </row>
    <row r="42" customFormat="false" ht="14.25" hidden="false" customHeight="false" outlineLevel="0" collapsed="false">
      <c r="A42" s="33" t="n">
        <v>41</v>
      </c>
      <c r="B42" s="33" t="s">
        <v>191</v>
      </c>
      <c r="C42" s="33" t="s">
        <v>217</v>
      </c>
      <c r="D42" s="33" t="n">
        <v>21</v>
      </c>
      <c r="E42" s="33" t="s">
        <v>39</v>
      </c>
      <c r="F42" s="33" t="n">
        <v>5</v>
      </c>
      <c r="G42" s="33" t="n">
        <v>80000</v>
      </c>
      <c r="H42" s="33" t="n">
        <v>3</v>
      </c>
      <c r="I42" s="33" t="s">
        <v>219</v>
      </c>
      <c r="J42" s="33" t="n">
        <v>0.05</v>
      </c>
      <c r="K42" s="33" t="n">
        <v>2</v>
      </c>
      <c r="L42" s="33" t="n">
        <f aca="false">IF(C42="F",D42-3,D42)</f>
        <v>21</v>
      </c>
      <c r="M42" s="33" t="n">
        <f aca="false">(_xlfn.XLOOKUP(L42,'DGI TABLE'!$A$2:$A$91,'DGI TABLE'!$G$2:$G$91)-_xlfn.XLOOKUP(L42+F42,'DGI TABLE'!$A$2:$A$91,'DGI TABLE'!$G$2:$G$91)+_xlfn.XLOOKUP(L42+F42,'DGI TABLE'!$A$2:$A$91,'DGI TABLE'!$C$2:$C$91))/_xlfn.XLOOKUP(L42,'DGI TABLE'!$A$2:$A$91,'DGI TABLE'!$C$2:$C$91)</f>
        <v>0.822654907187713</v>
      </c>
      <c r="N42" s="33" t="n">
        <f aca="false">(_xlfn.XLOOKUP(L42,'DGI TABLE'!$A$2:$A$91,'DGI TABLE'!$D$2:$D$91)-_xlfn.XLOOKUP(L42+H42,'DGI TABLE'!$A$2:$A$91,'DGI TABLE'!$D$2:$D$91))/_xlfn.XLOOKUP(L42,'DGI TABLE'!$A$2:$A$91,'DGI TABLE'!$C$2:$C$91)</f>
        <v>2.88016990138817</v>
      </c>
      <c r="O42" s="33" t="n">
        <f aca="false">M42/N42</f>
        <v>0.285627214835907</v>
      </c>
      <c r="P42" s="33" t="n">
        <f aca="false">(_xlfn.XLOOKUP(L42+1,'DGI TABLE'!$A$2:$A$91,'DGI TABLE'!$G$2:$G$91)-_xlfn.XLOOKUP(L42+F42,'DGI TABLE'!$A$2:$A$91,'DGI TABLE'!$G$2:$G$91))/_xlfn.XLOOKUP(L42+1,'DGI TABLE'!$A$2:$A$91,'DGI TABLE'!$C$2:$C$91)</f>
        <v>0.00771700547975399</v>
      </c>
      <c r="Q42" s="33" t="n">
        <f aca="false">(_xlfn.XLOOKUP(L42+1,'DGI TABLE'!$A$2:$A$91,'DGI TABLE'!$D$2:$D$91)-_xlfn.XLOOKUP(L42+H42,'DGI TABLE'!$A$2:$A$91,'DGI TABLE'!$D$2:$D$91))/_xlfn.XLOOKUP(L42+1,'DGI TABLE'!$A$2:$A$91,'DGI TABLE'!$C$2:$C$91)</f>
        <v>1.95943269924571</v>
      </c>
      <c r="R42" s="33" t="n">
        <f aca="false">_xlfn.XLOOKUP(L42,'DGI TABLE'!$A$2:$A$91,'DGI TABLE'!$F$2:$F$91)/_xlfn.XLOOKUP(L42,'DGI TABLE'!$A$2:$A$91,'DGI TABLE'!$C$2:$C$91)</f>
        <v>0.00199038561834698</v>
      </c>
      <c r="S42" s="33" t="n">
        <f aca="false">P42/Q42</f>
        <v>0.00393838761735715</v>
      </c>
      <c r="T42" s="33" t="n">
        <f aca="false">O42+0.03/N42</f>
        <v>0.296043267022808</v>
      </c>
      <c r="U42" s="33" t="n">
        <f aca="false">MIN(S42,T42)</f>
        <v>0.00393838761735715</v>
      </c>
      <c r="V42" s="33" t="n">
        <f aca="false">(_xlfn.XLOOKUP(L42+K42,'DGI TABLE'!$A$2:$A$91,'DGI TABLE'!$G$2:$G$91)-_xlfn.XLOOKUP(L42+F42,'DGI TABLE'!$A$2:$A$91,'DGI TABLE'!$G$2:$G$91))/_xlfn.XLOOKUP(L42+K42,'DGI TABLE'!$A$2:$A$91,'DGI TABLE'!$C$2:$C$91)</f>
        <v>0.00584849469686486</v>
      </c>
      <c r="W42" s="33" t="n">
        <f aca="false">(_xlfn.XLOOKUP(L42+K42,'DGI TABLE'!$A$2:$A$91,'DGI TABLE'!$D$2:$D$91)-_xlfn.XLOOKUP(L42+H42,'DGI TABLE'!$A$2:$A$91,'DGI TABLE'!$D$2:$D$91))/_xlfn.XLOOKUP(L42+K42,'DGI TABLE'!$A$2:$A$91,'DGI TABLE'!$C$2:$C$91)</f>
        <v>1</v>
      </c>
      <c r="X42" s="33" t="n">
        <f aca="false">G42*(((1+J42*(K42-1))*V42)-(U42*W42))</f>
        <v>176.202545148077</v>
      </c>
      <c r="Y42" s="32"/>
    </row>
    <row r="43" customFormat="false" ht="14.25" hidden="false" customHeight="false" outlineLevel="0" collapsed="false">
      <c r="A43" s="33" t="n">
        <v>42</v>
      </c>
      <c r="B43" s="33" t="s">
        <v>186</v>
      </c>
      <c r="C43" s="33" t="s">
        <v>215</v>
      </c>
      <c r="D43" s="33" t="n">
        <v>33</v>
      </c>
      <c r="E43" s="33" t="s">
        <v>39</v>
      </c>
      <c r="F43" s="33" t="n">
        <v>20</v>
      </c>
      <c r="G43" s="33" t="n">
        <v>60000</v>
      </c>
      <c r="H43" s="33" t="n">
        <v>10</v>
      </c>
      <c r="I43" s="33" t="s">
        <v>219</v>
      </c>
      <c r="J43" s="33" t="n">
        <v>0.05</v>
      </c>
      <c r="K43" s="33" t="n">
        <v>7</v>
      </c>
      <c r="L43" s="33" t="n">
        <f aca="false">IF(C43="F",D43-3,D43)</f>
        <v>30</v>
      </c>
      <c r="M43" s="33" t="n">
        <f aca="false">(_xlfn.XLOOKUP(L43,'DGI TABLE'!$A$2:$A$91,'DGI TABLE'!$G$2:$G$91)-_xlfn.XLOOKUP(L43+F43,'DGI TABLE'!$A$2:$A$91,'DGI TABLE'!$G$2:$G$91)+_xlfn.XLOOKUP(L43+F43,'DGI TABLE'!$A$2:$A$91,'DGI TABLE'!$C$2:$C$91))/_xlfn.XLOOKUP(L43,'DGI TABLE'!$A$2:$A$91,'DGI TABLE'!$C$2:$C$91)</f>
        <v>0.4664286942073</v>
      </c>
      <c r="N43" s="33" t="n">
        <f aca="false">(_xlfn.XLOOKUP(L43,'DGI TABLE'!$A$2:$A$91,'DGI TABLE'!$D$2:$D$91)-_xlfn.XLOOKUP(L43+H43,'DGI TABLE'!$A$2:$A$91,'DGI TABLE'!$D$2:$D$91))/_xlfn.XLOOKUP(L43,'DGI TABLE'!$A$2:$A$91,'DGI TABLE'!$C$2:$C$91)</f>
        <v>8.36943032422393</v>
      </c>
      <c r="O43" s="33" t="n">
        <f aca="false">M43/N43</f>
        <v>0.0557300408914689</v>
      </c>
      <c r="P43" s="33" t="n">
        <f aca="false">(_xlfn.XLOOKUP(L43+1,'DGI TABLE'!$A$2:$A$91,'DGI TABLE'!$G$2:$G$91)-_xlfn.XLOOKUP(L43+F43,'DGI TABLE'!$A$2:$A$91,'DGI TABLE'!$G$2:$G$91))/_xlfn.XLOOKUP(L43+1,'DGI TABLE'!$A$2:$A$91,'DGI TABLE'!$C$2:$C$91)</f>
        <v>0.0373236147990051</v>
      </c>
      <c r="Q43" s="33" t="n">
        <f aca="false">(_xlfn.XLOOKUP(L43+1,'DGI TABLE'!$A$2:$A$91,'DGI TABLE'!$D$2:$D$91)-_xlfn.XLOOKUP(L43+H43,'DGI TABLE'!$A$2:$A$91,'DGI TABLE'!$D$2:$D$91))/_xlfn.XLOOKUP(L43+1,'DGI TABLE'!$A$2:$A$91,'DGI TABLE'!$C$2:$C$91)</f>
        <v>7.67787417652595</v>
      </c>
      <c r="R43" s="33" t="n">
        <f aca="false">_xlfn.XLOOKUP(L43,'DGI TABLE'!$A$2:$A$91,'DGI TABLE'!$F$2:$F$91)/_xlfn.XLOOKUP(L43,'DGI TABLE'!$A$2:$A$91,'DGI TABLE'!$C$2:$C$91)</f>
        <v>0.0017115393113604</v>
      </c>
      <c r="S43" s="33" t="n">
        <f aca="false">P43/Q43</f>
        <v>0.00486119125436009</v>
      </c>
      <c r="T43" s="33" t="n">
        <f aca="false">O43+0.03/N43</f>
        <v>0.0593145142472205</v>
      </c>
      <c r="U43" s="33" t="n">
        <f aca="false">MIN(S43,T43)</f>
        <v>0.00486119125436009</v>
      </c>
      <c r="V43" s="33" t="n">
        <f aca="false">(_xlfn.XLOOKUP(L43+K43,'DGI TABLE'!$A$2:$A$91,'DGI TABLE'!$G$2:$G$91)-_xlfn.XLOOKUP(L43+F43,'DGI TABLE'!$A$2:$A$91,'DGI TABLE'!$G$2:$G$91))/_xlfn.XLOOKUP(L43+K43,'DGI TABLE'!$A$2:$A$91,'DGI TABLE'!$C$2:$C$91)</f>
        <v>0.0350280839158232</v>
      </c>
      <c r="W43" s="33" t="n">
        <f aca="false">(_xlfn.XLOOKUP(L43+K43,'DGI TABLE'!$A$2:$A$91,'DGI TABLE'!$D$2:$D$91)-_xlfn.XLOOKUP(L43+H43,'DGI TABLE'!$A$2:$A$91,'DGI TABLE'!$D$2:$D$91))/_xlfn.XLOOKUP(L43+K43,'DGI TABLE'!$A$2:$A$91,'DGI TABLE'!$C$2:$C$91)</f>
        <v>2.87962738396003</v>
      </c>
      <c r="X43" s="33" t="n">
        <f aca="false">G43*(((1+J43*(K43-1))*V43)-(U43*W43))</f>
        <v>1892.28537815087</v>
      </c>
      <c r="Y43" s="32"/>
    </row>
    <row r="44" customFormat="false" ht="15" hidden="false" customHeight="true" outlineLevel="0" collapsed="false">
      <c r="A44" s="34" t="n">
        <v>43</v>
      </c>
      <c r="B44" s="34" t="s">
        <v>188</v>
      </c>
      <c r="C44" s="34" t="s">
        <v>215</v>
      </c>
      <c r="D44" s="34" t="n">
        <v>34</v>
      </c>
      <c r="E44" s="34" t="s">
        <v>39</v>
      </c>
      <c r="F44" s="34" t="n">
        <v>20</v>
      </c>
      <c r="G44" s="34" t="n">
        <v>150000</v>
      </c>
      <c r="H44" s="34" t="n">
        <v>10</v>
      </c>
      <c r="I44" s="34" t="s">
        <v>219</v>
      </c>
      <c r="J44" s="34" t="n">
        <v>0.05</v>
      </c>
      <c r="K44" s="34" t="n">
        <v>8</v>
      </c>
      <c r="L44" s="34" t="n">
        <f aca="false">IF(C44="F",D44-3,D44)</f>
        <v>31</v>
      </c>
      <c r="M44" s="34" t="n">
        <f aca="false">(_xlfn.XLOOKUP(L44,'DGI TABLE'!$A$2:$A$91,'DGI TABLE'!$G$2:$G$91)-_xlfn.XLOOKUP(L44+F44,'DGI TABLE'!$A$2:$A$91,'DGI TABLE'!$G$2:$G$91)+_xlfn.XLOOKUP(L44+F44,'DGI TABLE'!$A$2:$A$91,'DGI TABLE'!$C$2:$C$91))/_xlfn.XLOOKUP(L44,'DGI TABLE'!$A$2:$A$91,'DGI TABLE'!$C$2:$C$91)</f>
        <v>0.466981361897239</v>
      </c>
      <c r="N44" s="34" t="n">
        <f aca="false">(_xlfn.XLOOKUP(L44,'DGI TABLE'!$A$2:$A$91,'DGI TABLE'!$D$2:$D$91)-_xlfn.XLOOKUP(L44+H44,'DGI TABLE'!$A$2:$A$91,'DGI TABLE'!$D$2:$D$91))/_xlfn.XLOOKUP(L44,'DGI TABLE'!$A$2:$A$91,'DGI TABLE'!$C$2:$C$91)</f>
        <v>8.36743790333423</v>
      </c>
      <c r="O44" s="34" t="n">
        <f aca="false">M44/N44</f>
        <v>0.0558093609169371</v>
      </c>
      <c r="P44" s="34" t="n">
        <f aca="false">(_xlfn.XLOOKUP(L44+1,'DGI TABLE'!$A$2:$A$91,'DGI TABLE'!$G$2:$G$91)-_xlfn.XLOOKUP(L44+F44,'DGI TABLE'!$A$2:$A$91,'DGI TABLE'!$G$2:$G$91))/_xlfn.XLOOKUP(L44+1,'DGI TABLE'!$A$2:$A$91,'DGI TABLE'!$C$2:$C$91)</f>
        <v>0.0400666465436977</v>
      </c>
      <c r="Q44" s="34" t="n">
        <f aca="false">(_xlfn.XLOOKUP(L44+1,'DGI TABLE'!$A$2:$A$91,'DGI TABLE'!$D$2:$D$91)-_xlfn.XLOOKUP(L44+H44,'DGI TABLE'!$A$2:$A$91,'DGI TABLE'!$D$2:$D$91))/_xlfn.XLOOKUP(L44+1,'DGI TABLE'!$A$2:$A$91,'DGI TABLE'!$C$2:$C$91)</f>
        <v>7.6757212853288</v>
      </c>
      <c r="R44" s="34" t="n">
        <f aca="false">_xlfn.XLOOKUP(L44,'DGI TABLE'!$A$2:$A$91,'DGI TABLE'!$F$2:$F$91)/_xlfn.XLOOKUP(L44,'DGI TABLE'!$A$2:$A$91,'DGI TABLE'!$C$2:$C$91)</f>
        <v>0.00170192340010756</v>
      </c>
      <c r="S44" s="34" t="n">
        <f aca="false">P44/Q44</f>
        <v>0.00521991941269157</v>
      </c>
      <c r="T44" s="34" t="n">
        <f aca="false">O44+0.03/N44</f>
        <v>0.0593946877931659</v>
      </c>
      <c r="U44" s="34" t="n">
        <f aca="false">MIN(S44,T44)</f>
        <v>0.00521991941269157</v>
      </c>
      <c r="V44" s="34" t="n">
        <f aca="false">(_xlfn.XLOOKUP(L44+K44,'DGI TABLE'!$A$2:$A$91,'DGI TABLE'!$G$2:$G$91)-_xlfn.XLOOKUP(L44+F44,'DGI TABLE'!$A$2:$A$91,'DGI TABLE'!$G$2:$G$91))/_xlfn.XLOOKUP(L44+K44,'DGI TABLE'!$A$2:$A$91,'DGI TABLE'!$C$2:$C$91)</f>
        <v>0.0372502256365815</v>
      </c>
      <c r="W44" s="34" t="n">
        <f aca="false">(_xlfn.XLOOKUP(L44+K44,'DGI TABLE'!$A$2:$A$91,'DGI TABLE'!$D$2:$D$91)-_xlfn.XLOOKUP(L44+H44,'DGI TABLE'!$A$2:$A$91,'DGI TABLE'!$D$2:$D$91))/_xlfn.XLOOKUP(L44+K44,'DGI TABLE'!$A$2:$A$91,'DGI TABLE'!$C$2:$C$91)</f>
        <v>1.95909620508829</v>
      </c>
      <c r="X44" s="34" t="n">
        <f aca="false">G44*(((1+J44*(K44-1))*V44)-(U44*W44))</f>
        <v>6009.22204456715</v>
      </c>
      <c r="Y44" s="32"/>
    </row>
    <row r="45" customFormat="false" ht="14.25" hidden="false" customHeight="false" outlineLevel="0" collapsed="false">
      <c r="A45" s="35" t="n">
        <v>44</v>
      </c>
      <c r="B45" s="35" t="s">
        <v>79</v>
      </c>
      <c r="C45" s="35" t="s">
        <v>217</v>
      </c>
      <c r="D45" s="35" t="n">
        <v>22</v>
      </c>
      <c r="E45" s="35" t="s">
        <v>41</v>
      </c>
      <c r="F45" s="35" t="n">
        <v>10</v>
      </c>
      <c r="G45" s="35" t="n">
        <v>75000</v>
      </c>
      <c r="H45" s="35" t="n">
        <v>5</v>
      </c>
      <c r="I45" s="35" t="s">
        <v>216</v>
      </c>
      <c r="J45" s="35" t="n">
        <v>0</v>
      </c>
      <c r="K45" s="35" t="n">
        <v>2</v>
      </c>
      <c r="L45" s="35" t="n">
        <f aca="false">IF(C45="F",D45-3,D45)</f>
        <v>22</v>
      </c>
      <c r="M45" s="35" t="n">
        <f aca="false">(_xlfn.XLOOKUP(L45,'DGI TABLE'!$A$2:$A$91,'DGI TABLE'!$G$2:$G$91)-_xlfn.XLOOKUP(L45+F45,'DGI TABLE'!$A$2:$A$91,'DGI TABLE'!$G$2:$G$91))/_xlfn.XLOOKUP(L45,'DGI TABLE'!$A$2:$A$91,'DGI TABLE'!$C$2:$C$91)</f>
        <v>0.0159517184554976</v>
      </c>
      <c r="N45" s="35" t="n">
        <f aca="false">(_xlfn.XLOOKUP(L45,'DGI TABLE'!$A$2:$A$91,'DGI TABLE'!$D$2:$D$91)-_xlfn.XLOOKUP(L45+H45,'DGI TABLE'!$A$2:$A$91,'DGI TABLE'!$D$2:$D$91))/_xlfn.XLOOKUP(L45,'DGI TABLE'!$A$2:$A$91,'DGI TABLE'!$C$2:$C$91)</f>
        <v>4.61074561994315</v>
      </c>
      <c r="O45" s="35" t="n">
        <f aca="false">M45/N45</f>
        <v>0.0034596830470327</v>
      </c>
      <c r="P45" s="35" t="n">
        <f aca="false">(_xlfn.XLOOKUP(L45+1,'DGI TABLE'!$A$2:$A$91,'DGI TABLE'!$G$2:$G$91)-_xlfn.XLOOKUP(L45+F45,'DGI TABLE'!$A$2:$A$91,'DGI TABLE'!$G$2:$G$91)+_xlfn.XLOOKUP(L45+F45,'DGI TABLE'!$A$2:$A$91,'DGI TABLE'!$C$2:$C$91))/_xlfn.XLOOKUP(L45+1,'DGI TABLE'!$A$2:$A$91,'DGI TABLE'!$C$2:$C$91)</f>
        <v>0.704838756511106</v>
      </c>
      <c r="Q45" s="35" t="n">
        <f aca="false">(_xlfn.XLOOKUP(L45+1,'DGI TABLE'!$A$2:$A$91,'DGI TABLE'!$D$2:$D$91)-_xlfn.XLOOKUP(L45+H45,'DGI TABLE'!$A$2:$A$91,'DGI TABLE'!$D$2:$D$91))/_xlfn.XLOOKUP(L45+1,'DGI TABLE'!$A$2:$A$91,'DGI TABLE'!$C$2:$C$91)</f>
        <v>3.76341730147603</v>
      </c>
      <c r="R45" s="35" t="n">
        <f aca="false">_xlfn.XLOOKUP(L45,'DGI TABLE'!$A$2:$A$91,'DGI TABLE'!$F$2:$F$91)/_xlfn.XLOOKUP(L45,'DGI TABLE'!$A$2:$A$91,'DGI TABLE'!$C$2:$C$91)</f>
        <v>0.00210576842621671</v>
      </c>
      <c r="S45" s="35" t="n">
        <f aca="false">P45/Q45</f>
        <v>0.187286899126139</v>
      </c>
      <c r="T45" s="35" t="n">
        <f aca="false">O45+0.03/N45</f>
        <v>0.00996622287222694</v>
      </c>
      <c r="U45" s="35" t="n">
        <f aca="false">MIN(S45,T45)</f>
        <v>0.00996622287222694</v>
      </c>
      <c r="V45" s="35" t="n">
        <f aca="false">(_xlfn.XLOOKUP(L45+K45,'DGI TABLE'!$A$2:$A$91,'DGI TABLE'!$G$2:$G$91)-_xlfn.XLOOKUP(L45+F45,'DGI TABLE'!$A$2:$A$91,'DGI TABLE'!$G$2:$G$91)+_xlfn.XLOOKUP(L45+F45,'DGI TABLE'!$A$2:$A$91,'DGI TABLE'!$C$2:$C$91))/_xlfn.XLOOKUP(L45+K45,'DGI TABLE'!$A$2:$A$91,'DGI TABLE'!$C$2:$C$91)</f>
        <v>0.732449055578107</v>
      </c>
      <c r="W45" s="35" t="n">
        <f aca="false">(_xlfn.XLOOKUP(L45+K45,'DGI TABLE'!$A$2:$A$91,'DGI TABLE'!$D$2:$D$91)-_xlfn.XLOOKUP(L45+H45,'DGI TABLE'!$A$2:$A$91,'DGI TABLE'!$D$2:$D$91))/_xlfn.XLOOKUP(L45+K45,'DGI TABLE'!$A$2:$A$91,'DGI TABLE'!$C$2:$C$91)</f>
        <v>2.88023293828267</v>
      </c>
      <c r="X45" s="35" t="n">
        <f aca="false">G45*(V45-(U45*W45))</f>
        <v>52780.800914344</v>
      </c>
      <c r="Y45" s="36" t="n">
        <f aca="false">AVERAGE(X45:X72)</f>
        <v>75217.1289574993</v>
      </c>
    </row>
    <row r="46" customFormat="false" ht="14.25" hidden="false" customHeight="false" outlineLevel="0" collapsed="false">
      <c r="A46" s="37" t="n">
        <v>45</v>
      </c>
      <c r="B46" s="37" t="s">
        <v>82</v>
      </c>
      <c r="C46" s="37" t="s">
        <v>217</v>
      </c>
      <c r="D46" s="37" t="n">
        <v>27</v>
      </c>
      <c r="E46" s="37" t="s">
        <v>41</v>
      </c>
      <c r="F46" s="37" t="n">
        <v>15</v>
      </c>
      <c r="G46" s="37" t="n">
        <v>175000</v>
      </c>
      <c r="H46" s="37" t="n">
        <v>10</v>
      </c>
      <c r="I46" s="37" t="s">
        <v>216</v>
      </c>
      <c r="J46" s="37" t="n">
        <v>0</v>
      </c>
      <c r="K46" s="37" t="n">
        <v>4</v>
      </c>
      <c r="L46" s="37" t="n">
        <f aca="false">IF(C46="F",D46-3,D46)</f>
        <v>27</v>
      </c>
      <c r="M46" s="37" t="n">
        <f aca="false">(_xlfn.XLOOKUP(L46,'DGI TABLE'!$A$2:$A$91,'DGI TABLE'!$G$2:$G$91)-_xlfn.XLOOKUP(L46+F46,'DGI TABLE'!$A$2:$A$91,'DGI TABLE'!$G$2:$G$91))/_xlfn.XLOOKUP(L46,'DGI TABLE'!$A$2:$A$91,'DGI TABLE'!$C$2:$C$91)</f>
        <v>0.0226483555668101</v>
      </c>
      <c r="N46" s="37" t="n">
        <f aca="false">(_xlfn.XLOOKUP(L46,'DGI TABLE'!$A$2:$A$91,'DGI TABLE'!$D$2:$D$91)-_xlfn.XLOOKUP(L46+H46,'DGI TABLE'!$A$2:$A$91,'DGI TABLE'!$D$2:$D$91))/_xlfn.XLOOKUP(L46,'DGI TABLE'!$A$2:$A$91,'DGI TABLE'!$C$2:$C$91)</f>
        <v>8.37054247500786</v>
      </c>
      <c r="O46" s="37" t="n">
        <f aca="false">M46/N46</f>
        <v>0.00270572135968868</v>
      </c>
      <c r="P46" s="37" t="n">
        <f aca="false">(_xlfn.XLOOKUP(L46+1,'DGI TABLE'!$A$2:$A$91,'DGI TABLE'!$G$2:$G$91)-_xlfn.XLOOKUP(L46+F46,'DGI TABLE'!$A$2:$A$91,'DGI TABLE'!$G$2:$G$91)+_xlfn.XLOOKUP(L46+F46,'DGI TABLE'!$A$2:$A$91,'DGI TABLE'!$C$2:$C$91))/_xlfn.XLOOKUP(L46+1,'DGI TABLE'!$A$2:$A$91,'DGI TABLE'!$C$2:$C$91)</f>
        <v>0.582172148471083</v>
      </c>
      <c r="Q46" s="37" t="n">
        <f aca="false">(_xlfn.XLOOKUP(L46+1,'DGI TABLE'!$A$2:$A$91,'DGI TABLE'!$D$2:$D$91)-_xlfn.XLOOKUP(L46+H46,'DGI TABLE'!$A$2:$A$91,'DGI TABLE'!$D$2:$D$91))/_xlfn.XLOOKUP(L46+1,'DGI TABLE'!$A$2:$A$91,'DGI TABLE'!$C$2:$C$91)</f>
        <v>7.68010987640452</v>
      </c>
      <c r="R46" s="37" t="n">
        <f aca="false">_xlfn.XLOOKUP(L46,'DGI TABLE'!$A$2:$A$91,'DGI TABLE'!$F$2:$F$91)/_xlfn.XLOOKUP(L46,'DGI TABLE'!$A$2:$A$91,'DGI TABLE'!$C$2:$C$91)</f>
        <v>0.0018461548790625</v>
      </c>
      <c r="S46" s="37" t="n">
        <f aca="false">P46/Q46</f>
        <v>0.0758025806713627</v>
      </c>
      <c r="T46" s="37" t="n">
        <f aca="false">O46+0.03/N46</f>
        <v>0.00628971846496253</v>
      </c>
      <c r="U46" s="37" t="n">
        <f aca="false">MIN(S46,T46)</f>
        <v>0.00628971846496253</v>
      </c>
      <c r="V46" s="37" t="n">
        <f aca="false">(_xlfn.XLOOKUP(L46+K46,'DGI TABLE'!$A$2:$A$91,'DGI TABLE'!$G$2:$G$91)-_xlfn.XLOOKUP(L46+F46,'DGI TABLE'!$A$2:$A$91,'DGI TABLE'!$G$2:$G$91)+_xlfn.XLOOKUP(L46+F46,'DGI TABLE'!$A$2:$A$91,'DGI TABLE'!$C$2:$C$91))/_xlfn.XLOOKUP(L46+K46,'DGI TABLE'!$A$2:$A$91,'DGI TABLE'!$C$2:$C$91)</f>
        <v>0.652743218943264</v>
      </c>
      <c r="W46" s="37" t="n">
        <f aca="false">(_xlfn.XLOOKUP(L46+K46,'DGI TABLE'!$A$2:$A$91,'DGI TABLE'!$D$2:$D$91)-_xlfn.XLOOKUP(L46+H46,'DGI TABLE'!$A$2:$A$91,'DGI TABLE'!$D$2:$D$91))/_xlfn.XLOOKUP(L46+K46,'DGI TABLE'!$A$2:$A$91,'DGI TABLE'!$C$2:$C$91)</f>
        <v>5.42810962988482</v>
      </c>
      <c r="X46" s="37" t="n">
        <f aca="false">G46*(V46-(U46*W46))</f>
        <v>108255.339075509</v>
      </c>
      <c r="Y46" s="36"/>
    </row>
    <row r="47" customFormat="false" ht="14.25" hidden="false" customHeight="false" outlineLevel="0" collapsed="false">
      <c r="A47" s="37" t="n">
        <v>46</v>
      </c>
      <c r="B47" s="37" t="s">
        <v>88</v>
      </c>
      <c r="C47" s="37" t="s">
        <v>217</v>
      </c>
      <c r="D47" s="37" t="n">
        <v>40</v>
      </c>
      <c r="E47" s="37" t="s">
        <v>41</v>
      </c>
      <c r="F47" s="37" t="n">
        <v>5</v>
      </c>
      <c r="G47" s="37" t="n">
        <v>175000</v>
      </c>
      <c r="H47" s="37" t="n">
        <v>3</v>
      </c>
      <c r="I47" s="37" t="s">
        <v>216</v>
      </c>
      <c r="J47" s="37" t="n">
        <v>0</v>
      </c>
      <c r="K47" s="37" t="n">
        <v>1</v>
      </c>
      <c r="L47" s="37" t="n">
        <f aca="false">IF(C47="F",D47-3,D47)</f>
        <v>40</v>
      </c>
      <c r="M47" s="37" t="n">
        <f aca="false">(_xlfn.XLOOKUP(L47,'DGI TABLE'!$A$2:$A$91,'DGI TABLE'!$G$2:$G$91)-_xlfn.XLOOKUP(L47+F47,'DGI TABLE'!$A$2:$A$91,'DGI TABLE'!$G$2:$G$91))/_xlfn.XLOOKUP(L47,'DGI TABLE'!$A$2:$A$91,'DGI TABLE'!$C$2:$C$91)</f>
        <v>0.014203181028698</v>
      </c>
      <c r="N47" s="37" t="n">
        <f aca="false">(_xlfn.XLOOKUP(L47,'DGI TABLE'!$A$2:$A$91,'DGI TABLE'!$D$2:$D$91)-_xlfn.XLOOKUP(L47+H47,'DGI TABLE'!$A$2:$A$91,'DGI TABLE'!$D$2:$D$91))/_xlfn.XLOOKUP(L47,'DGI TABLE'!$A$2:$A$91,'DGI TABLE'!$C$2:$C$91)</f>
        <v>2.8782629671783</v>
      </c>
      <c r="O47" s="37" t="n">
        <f aca="false">M47/N47</f>
        <v>0.00493463633818771</v>
      </c>
      <c r="P47" s="37" t="n">
        <f aca="false">(_xlfn.XLOOKUP(L47+1,'DGI TABLE'!$A$2:$A$91,'DGI TABLE'!$G$2:$G$91)-_xlfn.XLOOKUP(L47+F47,'DGI TABLE'!$A$2:$A$91,'DGI TABLE'!$G$2:$G$91)+_xlfn.XLOOKUP(L47+F47,'DGI TABLE'!$A$2:$A$91,'DGI TABLE'!$C$2:$C$91))/_xlfn.XLOOKUP(L47+1,'DGI TABLE'!$A$2:$A$91,'DGI TABLE'!$C$2:$C$91)</f>
        <v>0.855457374160791</v>
      </c>
      <c r="Q47" s="37" t="n">
        <f aca="false">(_xlfn.XLOOKUP(L47+1,'DGI TABLE'!$A$2:$A$91,'DGI TABLE'!$D$2:$D$91)-_xlfn.XLOOKUP(L47+H47,'DGI TABLE'!$A$2:$A$91,'DGI TABLE'!$D$2:$D$91))/_xlfn.XLOOKUP(L47+1,'DGI TABLE'!$A$2:$A$91,'DGI TABLE'!$C$2:$C$91)</f>
        <v>1.95872111998553</v>
      </c>
      <c r="R47" s="37" t="n">
        <f aca="false">_xlfn.XLOOKUP(L47,'DGI TABLE'!$A$2:$A$91,'DGI TABLE'!$F$2:$F$91)/_xlfn.XLOOKUP(L47,'DGI TABLE'!$A$2:$A$91,'DGI TABLE'!$C$2:$C$91)</f>
        <v>0.00261538509968691</v>
      </c>
      <c r="S47" s="37" t="n">
        <f aca="false">P47/Q47</f>
        <v>0.436742814192513</v>
      </c>
      <c r="T47" s="37" t="n">
        <f aca="false">O47+0.03/N47</f>
        <v>0.0153575894672447</v>
      </c>
      <c r="U47" s="37" t="n">
        <f aca="false">MIN(S47,T47)</f>
        <v>0.0153575894672447</v>
      </c>
      <c r="V47" s="37" t="n">
        <f aca="false">(_xlfn.XLOOKUP(L47+K47,'DGI TABLE'!$A$2:$A$91,'DGI TABLE'!$G$2:$G$91)-_xlfn.XLOOKUP(L47+F47,'DGI TABLE'!$A$2:$A$91,'DGI TABLE'!$G$2:$G$91)+_xlfn.XLOOKUP(L47+F47,'DGI TABLE'!$A$2:$A$91,'DGI TABLE'!$C$2:$C$91))/_xlfn.XLOOKUP(L47+K47,'DGI TABLE'!$A$2:$A$91,'DGI TABLE'!$C$2:$C$91)</f>
        <v>0.855457374160791</v>
      </c>
      <c r="W47" s="37" t="n">
        <f aca="false">(_xlfn.XLOOKUP(L47+K47,'DGI TABLE'!$A$2:$A$91,'DGI TABLE'!$D$2:$D$91)-_xlfn.XLOOKUP(L47+H47,'DGI TABLE'!$A$2:$A$91,'DGI TABLE'!$D$2:$D$91))/_xlfn.XLOOKUP(L47+K47,'DGI TABLE'!$A$2:$A$91,'DGI TABLE'!$C$2:$C$91)</f>
        <v>1.95872111998553</v>
      </c>
      <c r="X47" s="37" t="n">
        <f aca="false">G47*(V47-(U47*W47))</f>
        <v>144440.824380866</v>
      </c>
      <c r="Y47" s="36"/>
    </row>
    <row r="48" customFormat="false" ht="14.25" hidden="false" customHeight="false" outlineLevel="0" collapsed="false">
      <c r="A48" s="37" t="n">
        <v>47</v>
      </c>
      <c r="B48" s="37" t="s">
        <v>91</v>
      </c>
      <c r="C48" s="37" t="s">
        <v>217</v>
      </c>
      <c r="D48" s="37" t="n">
        <v>18</v>
      </c>
      <c r="E48" s="37" t="s">
        <v>41</v>
      </c>
      <c r="F48" s="37" t="n">
        <v>5</v>
      </c>
      <c r="G48" s="37" t="n">
        <v>120000</v>
      </c>
      <c r="H48" s="37" t="n">
        <v>4</v>
      </c>
      <c r="I48" s="37" t="s">
        <v>216</v>
      </c>
      <c r="J48" s="37" t="n">
        <v>0</v>
      </c>
      <c r="K48" s="37" t="n">
        <v>3</v>
      </c>
      <c r="L48" s="37" t="n">
        <f aca="false">IF(C48="F",D48-3,D48)</f>
        <v>18</v>
      </c>
      <c r="M48" s="37" t="n">
        <f aca="false">(_xlfn.XLOOKUP(L48,'DGI TABLE'!$A$2:$A$91,'DGI TABLE'!$G$2:$G$91)-_xlfn.XLOOKUP(L48+F48,'DGI TABLE'!$A$2:$A$91,'DGI TABLE'!$G$2:$G$91))/_xlfn.XLOOKUP(L48,'DGI TABLE'!$A$2:$A$91,'DGI TABLE'!$C$2:$C$91)</f>
        <v>0.00842215474870911</v>
      </c>
      <c r="N48" s="37" t="n">
        <f aca="false">(_xlfn.XLOOKUP(L48,'DGI TABLE'!$A$2:$A$91,'DGI TABLE'!$D$2:$D$91)-_xlfn.XLOOKUP(L48+H48,'DGI TABLE'!$A$2:$A$91,'DGI TABLE'!$D$2:$D$91))/_xlfn.XLOOKUP(L48,'DGI TABLE'!$A$2:$A$91,'DGI TABLE'!$C$2:$C$91)</f>
        <v>3.7656976037572</v>
      </c>
      <c r="O48" s="37" t="n">
        <f aca="false">M48/N48</f>
        <v>0.00223654569084516</v>
      </c>
      <c r="P48" s="37" t="n">
        <f aca="false">(_xlfn.XLOOKUP(L48+1,'DGI TABLE'!$A$2:$A$91,'DGI TABLE'!$G$2:$G$91)-_xlfn.XLOOKUP(L48+F48,'DGI TABLE'!$A$2:$A$91,'DGI TABLE'!$G$2:$G$91)+_xlfn.XLOOKUP(L48+F48,'DGI TABLE'!$A$2:$A$91,'DGI TABLE'!$C$2:$C$91))/_xlfn.XLOOKUP(L48+1,'DGI TABLE'!$A$2:$A$91,'DGI TABLE'!$C$2:$C$91)</f>
        <v>0.855194857117766</v>
      </c>
      <c r="Q48" s="37" t="n">
        <f aca="false">(_xlfn.XLOOKUP(L48+1,'DGI TABLE'!$A$2:$A$91,'DGI TABLE'!$D$2:$D$91)-_xlfn.XLOOKUP(L48+H48,'DGI TABLE'!$A$2:$A$91,'DGI TABLE'!$D$2:$D$91))/_xlfn.XLOOKUP(L48+1,'DGI TABLE'!$A$2:$A$91,'DGI TABLE'!$C$2:$C$91)</f>
        <v>2.88102157726514</v>
      </c>
      <c r="R48" s="37" t="n">
        <f aca="false">_xlfn.XLOOKUP(L48,'DGI TABLE'!$A$2:$A$91,'DGI TABLE'!$F$2:$F$91)/_xlfn.XLOOKUP(L48,'DGI TABLE'!$A$2:$A$91,'DGI TABLE'!$C$2:$C$91)</f>
        <v>0.00156730830106819</v>
      </c>
      <c r="S48" s="37" t="n">
        <f aca="false">P48/Q48</f>
        <v>0.296837366254498</v>
      </c>
      <c r="T48" s="37" t="n">
        <f aca="false">O48+0.03/N48</f>
        <v>0.0102031970677554</v>
      </c>
      <c r="U48" s="37" t="n">
        <f aca="false">MIN(S48,T48)</f>
        <v>0.0102031970677554</v>
      </c>
      <c r="V48" s="37" t="n">
        <f aca="false">(_xlfn.XLOOKUP(L48+K48,'DGI TABLE'!$A$2:$A$91,'DGI TABLE'!$G$2:$G$91)-_xlfn.XLOOKUP(L48+F48,'DGI TABLE'!$A$2:$A$91,'DGI TABLE'!$G$2:$G$91)+_xlfn.XLOOKUP(L48+F48,'DGI TABLE'!$A$2:$A$91,'DGI TABLE'!$C$2:$C$91))/_xlfn.XLOOKUP(L48+K48,'DGI TABLE'!$A$2:$A$91,'DGI TABLE'!$C$2:$C$91)</f>
        <v>0.924632773053542</v>
      </c>
      <c r="W48" s="37" t="n">
        <f aca="false">(_xlfn.XLOOKUP(L48+K48,'DGI TABLE'!$A$2:$A$91,'DGI TABLE'!$D$2:$D$91)-_xlfn.XLOOKUP(L48+H48,'DGI TABLE'!$A$2:$A$91,'DGI TABLE'!$D$2:$D$91))/_xlfn.XLOOKUP(L48+K48,'DGI TABLE'!$A$2:$A$91,'DGI TABLE'!$C$2:$C$91)</f>
        <v>1.00000002318473</v>
      </c>
      <c r="X48" s="37" t="n">
        <f aca="false">G48*(V48-(U48*W48))</f>
        <v>109731.549089907</v>
      </c>
      <c r="Y48" s="36"/>
    </row>
    <row r="49" customFormat="false" ht="14.25" hidden="false" customHeight="false" outlineLevel="0" collapsed="false">
      <c r="A49" s="37" t="n">
        <v>48</v>
      </c>
      <c r="B49" s="37" t="s">
        <v>107</v>
      </c>
      <c r="C49" s="37" t="s">
        <v>217</v>
      </c>
      <c r="D49" s="37" t="n">
        <v>60</v>
      </c>
      <c r="E49" s="37" t="s">
        <v>41</v>
      </c>
      <c r="F49" s="37" t="n">
        <v>25</v>
      </c>
      <c r="G49" s="37" t="n">
        <v>125000</v>
      </c>
      <c r="H49" s="37" t="n">
        <v>5</v>
      </c>
      <c r="I49" s="37" t="s">
        <v>216</v>
      </c>
      <c r="J49" s="37" t="n">
        <v>0</v>
      </c>
      <c r="K49" s="37" t="n">
        <v>3</v>
      </c>
      <c r="L49" s="37" t="n">
        <f aca="false">IF(C49="F",D49-3,D49)</f>
        <v>60</v>
      </c>
      <c r="M49" s="37" t="n">
        <f aca="false">(_xlfn.XLOOKUP(L49,'DGI TABLE'!$A$2:$A$91,'DGI TABLE'!$G$2:$G$91)-_xlfn.XLOOKUP(L49+F49,'DGI TABLE'!$A$2:$A$91,'DGI TABLE'!$G$2:$G$91))/_xlfn.XLOOKUP(L49,'DGI TABLE'!$A$2:$A$91,'DGI TABLE'!$C$2:$C$91)</f>
        <v>0.42928886362648</v>
      </c>
      <c r="N49" s="37" t="n">
        <f aca="false">(_xlfn.XLOOKUP(L49,'DGI TABLE'!$A$2:$A$91,'DGI TABLE'!$D$2:$D$91)-_xlfn.XLOOKUP(L49+H49,'DGI TABLE'!$A$2:$A$91,'DGI TABLE'!$D$2:$D$91))/_xlfn.XLOOKUP(L49,'DGI TABLE'!$A$2:$A$91,'DGI TABLE'!$C$2:$C$91)</f>
        <v>4.48929672199724</v>
      </c>
      <c r="O49" s="37" t="n">
        <f aca="false">M49/N49</f>
        <v>0.0956249698361426</v>
      </c>
      <c r="P49" s="37" t="n">
        <f aca="false">(_xlfn.XLOOKUP(L49+1,'DGI TABLE'!$A$2:$A$91,'DGI TABLE'!$G$2:$G$91)-_xlfn.XLOOKUP(L49+F49,'DGI TABLE'!$A$2:$A$91,'DGI TABLE'!$G$2:$G$91)+_xlfn.XLOOKUP(L49+F49,'DGI TABLE'!$A$2:$A$91,'DGI TABLE'!$C$2:$C$91))/_xlfn.XLOOKUP(L49+1,'DGI TABLE'!$A$2:$A$91,'DGI TABLE'!$C$2:$C$91)</f>
        <v>0.539355204324547</v>
      </c>
      <c r="Q49" s="37" t="n">
        <f aca="false">(_xlfn.XLOOKUP(L49+1,'DGI TABLE'!$A$2:$A$91,'DGI TABLE'!$D$2:$D$91)-_xlfn.XLOOKUP(L49+H49,'DGI TABLE'!$A$2:$A$91,'DGI TABLE'!$D$2:$D$91))/_xlfn.XLOOKUP(L49+1,'DGI TABLE'!$A$2:$A$91,'DGI TABLE'!$C$2:$C$91)</f>
        <v>3.68334556563328</v>
      </c>
      <c r="R49" s="37" t="n">
        <f aca="false">_xlfn.XLOOKUP(L49,'DGI TABLE'!$A$2:$A$91,'DGI TABLE'!$F$2:$F$91)/_xlfn.XLOOKUP(L49,'DGI TABLE'!$A$2:$A$91,'DGI TABLE'!$C$2:$C$91)</f>
        <v>0.0142211496388498</v>
      </c>
      <c r="S49" s="37" t="n">
        <f aca="false">P49/Q49</f>
        <v>0.146430790897518</v>
      </c>
      <c r="T49" s="37" t="n">
        <f aca="false">O49+0.03/N49</f>
        <v>0.10230753101616</v>
      </c>
      <c r="U49" s="37" t="n">
        <f aca="false">MIN(S49,T49)</f>
        <v>0.10230753101616</v>
      </c>
      <c r="V49" s="37" t="n">
        <f aca="false">(_xlfn.XLOOKUP(L49+K49,'DGI TABLE'!$A$2:$A$91,'DGI TABLE'!$G$2:$G$91)-_xlfn.XLOOKUP(L49+F49,'DGI TABLE'!$A$2:$A$91,'DGI TABLE'!$G$2:$G$91)+_xlfn.XLOOKUP(L49+F49,'DGI TABLE'!$A$2:$A$91,'DGI TABLE'!$C$2:$C$91))/_xlfn.XLOOKUP(L49+K49,'DGI TABLE'!$A$2:$A$91,'DGI TABLE'!$C$2:$C$91)</f>
        <v>0.568442343091265</v>
      </c>
      <c r="W49" s="37" t="n">
        <f aca="false">(_xlfn.XLOOKUP(L49+K49,'DGI TABLE'!$A$2:$A$91,'DGI TABLE'!$D$2:$D$91)-_xlfn.XLOOKUP(L49+H49,'DGI TABLE'!$A$2:$A$91,'DGI TABLE'!$D$2:$D$91))/_xlfn.XLOOKUP(L49+K49,'DGI TABLE'!$A$2:$A$91,'DGI TABLE'!$C$2:$C$91)</f>
        <v>1.94324028821789</v>
      </c>
      <c r="X49" s="37" t="n">
        <f aca="false">G49*(V49-(U49*W49))</f>
        <v>46204.2783790701</v>
      </c>
      <c r="Y49" s="36"/>
    </row>
    <row r="50" customFormat="false" ht="14.25" hidden="false" customHeight="false" outlineLevel="0" collapsed="false">
      <c r="A50" s="37" t="n">
        <v>49</v>
      </c>
      <c r="B50" s="37" t="s">
        <v>124</v>
      </c>
      <c r="C50" s="37" t="s">
        <v>215</v>
      </c>
      <c r="D50" s="37" t="n">
        <v>50</v>
      </c>
      <c r="E50" s="37" t="s">
        <v>41</v>
      </c>
      <c r="F50" s="37" t="n">
        <v>20</v>
      </c>
      <c r="G50" s="37" t="n">
        <v>50000</v>
      </c>
      <c r="H50" s="37" t="n">
        <v>15</v>
      </c>
      <c r="I50" s="37" t="s">
        <v>216</v>
      </c>
      <c r="J50" s="37" t="n">
        <v>0</v>
      </c>
      <c r="K50" s="37" t="n">
        <v>8</v>
      </c>
      <c r="L50" s="37" t="n">
        <f aca="false">IF(C50="F",D50-3,D50)</f>
        <v>47</v>
      </c>
      <c r="M50" s="37" t="n">
        <f aca="false">(_xlfn.XLOOKUP(L50,'DGI TABLE'!$A$2:$A$91,'DGI TABLE'!$G$2:$G$91)-_xlfn.XLOOKUP(L50+F50,'DGI TABLE'!$A$2:$A$91,'DGI TABLE'!$G$2:$G$91))/_xlfn.XLOOKUP(L50,'DGI TABLE'!$A$2:$A$91,'DGI TABLE'!$C$2:$C$91)</f>
        <v>0.139761051865035</v>
      </c>
      <c r="N50" s="37" t="n">
        <f aca="false">(_xlfn.XLOOKUP(L50,'DGI TABLE'!$A$2:$A$91,'DGI TABLE'!$D$2:$D$91)-_xlfn.XLOOKUP(L50+H50,'DGI TABLE'!$A$2:$A$91,'DGI TABLE'!$D$2:$D$91))/_xlfn.XLOOKUP(L50,'DGI TABLE'!$A$2:$A$91,'DGI TABLE'!$C$2:$C$91)</f>
        <v>11.0323180092771</v>
      </c>
      <c r="O50" s="37" t="n">
        <f aca="false">M50/N50</f>
        <v>0.0126683306035514</v>
      </c>
      <c r="P50" s="37" t="n">
        <f aca="false">(_xlfn.XLOOKUP(L50+1,'DGI TABLE'!$A$2:$A$91,'DGI TABLE'!$G$2:$G$91)-_xlfn.XLOOKUP(L50+F50,'DGI TABLE'!$A$2:$A$91,'DGI TABLE'!$G$2:$G$91)+_xlfn.XLOOKUP(L50+F50,'DGI TABLE'!$A$2:$A$91,'DGI TABLE'!$C$2:$C$91))/_xlfn.XLOOKUP(L50+1,'DGI TABLE'!$A$2:$A$91,'DGI TABLE'!$C$2:$C$91)</f>
        <v>0.510776961307681</v>
      </c>
      <c r="Q50" s="37" t="n">
        <f aca="false">(_xlfn.XLOOKUP(L50+1,'DGI TABLE'!$A$2:$A$91,'DGI TABLE'!$D$2:$D$91)-_xlfn.XLOOKUP(L50+H50,'DGI TABLE'!$A$2:$A$91,'DGI TABLE'!$D$2:$D$91))/_xlfn.XLOOKUP(L50+1,'DGI TABLE'!$A$2:$A$91,'DGI TABLE'!$C$2:$C$91)</f>
        <v>10.4865677708132</v>
      </c>
      <c r="R50" s="37" t="n">
        <f aca="false">_xlfn.XLOOKUP(L50,'DGI TABLE'!$A$2:$A$91,'DGI TABLE'!$F$2:$F$91)/_xlfn.XLOOKUP(L50,'DGI TABLE'!$A$2:$A$91,'DGI TABLE'!$C$2:$C$91)</f>
        <v>0.00485577137157463</v>
      </c>
      <c r="S50" s="37" t="n">
        <f aca="false">P50/Q50</f>
        <v>0.0487077347394162</v>
      </c>
      <c r="T50" s="37" t="n">
        <f aca="false">O50+0.03/N50</f>
        <v>0.0153876140736955</v>
      </c>
      <c r="U50" s="37" t="n">
        <f aca="false">MIN(S50,T50)</f>
        <v>0.0153876140736955</v>
      </c>
      <c r="V50" s="37" t="n">
        <f aca="false">(_xlfn.XLOOKUP(L50+K50,'DGI TABLE'!$A$2:$A$91,'DGI TABLE'!$G$2:$G$91)-_xlfn.XLOOKUP(L50+F50,'DGI TABLE'!$A$2:$A$91,'DGI TABLE'!$G$2:$G$91)+_xlfn.XLOOKUP(L50+F50,'DGI TABLE'!$A$2:$A$91,'DGI TABLE'!$C$2:$C$91))/_xlfn.XLOOKUP(L50+K50,'DGI TABLE'!$A$2:$A$91,'DGI TABLE'!$C$2:$C$91)</f>
        <v>0.648772645205689</v>
      </c>
      <c r="W50" s="37" t="n">
        <f aca="false">(_xlfn.XLOOKUP(L50+K50,'DGI TABLE'!$A$2:$A$91,'DGI TABLE'!$D$2:$D$91)-_xlfn.XLOOKUP(L50+H50,'DGI TABLE'!$A$2:$A$91,'DGI TABLE'!$D$2:$D$91))/_xlfn.XLOOKUP(L50+K50,'DGI TABLE'!$A$2:$A$91,'DGI TABLE'!$C$2:$C$91)</f>
        <v>6.0375854678573</v>
      </c>
      <c r="X50" s="37" t="n">
        <f aca="false">G50*(V50-(U50*W50))</f>
        <v>27793.4305044674</v>
      </c>
      <c r="Y50" s="36"/>
    </row>
    <row r="51" customFormat="false" ht="14.25" hidden="false" customHeight="false" outlineLevel="0" collapsed="false">
      <c r="A51" s="37" t="n">
        <v>50</v>
      </c>
      <c r="B51" s="37" t="s">
        <v>130</v>
      </c>
      <c r="C51" s="37" t="s">
        <v>215</v>
      </c>
      <c r="D51" s="37" t="n">
        <v>23</v>
      </c>
      <c r="E51" s="37" t="s">
        <v>41</v>
      </c>
      <c r="F51" s="37" t="n">
        <v>10</v>
      </c>
      <c r="G51" s="37" t="n">
        <v>150000</v>
      </c>
      <c r="H51" s="37" t="n">
        <v>5</v>
      </c>
      <c r="I51" s="37" t="s">
        <v>216</v>
      </c>
      <c r="J51" s="37" t="n">
        <v>0</v>
      </c>
      <c r="K51" s="37" t="n">
        <v>3</v>
      </c>
      <c r="L51" s="37" t="n">
        <f aca="false">IF(C51="F",D51-3,D51)</f>
        <v>20</v>
      </c>
      <c r="M51" s="37" t="n">
        <f aca="false">(_xlfn.XLOOKUP(L51,'DGI TABLE'!$A$2:$A$91,'DGI TABLE'!$G$2:$G$91)-_xlfn.XLOOKUP(L51+F51,'DGI TABLE'!$A$2:$A$91,'DGI TABLE'!$G$2:$G$91))/_xlfn.XLOOKUP(L51,'DGI TABLE'!$A$2:$A$91,'DGI TABLE'!$C$2:$C$91)</f>
        <v>0.0162120347177777</v>
      </c>
      <c r="N51" s="37" t="n">
        <f aca="false">(_xlfn.XLOOKUP(L51,'DGI TABLE'!$A$2:$A$91,'DGI TABLE'!$D$2:$D$91)-_xlfn.XLOOKUP(L51+H51,'DGI TABLE'!$A$2:$A$91,'DGI TABLE'!$D$2:$D$91))/_xlfn.XLOOKUP(L51,'DGI TABLE'!$A$2:$A$91,'DGI TABLE'!$C$2:$C$91)</f>
        <v>4.61182960683903</v>
      </c>
      <c r="O51" s="37" t="n">
        <f aca="false">M51/N51</f>
        <v>0.00351531520022689</v>
      </c>
      <c r="P51" s="37" t="n">
        <f aca="false">(_xlfn.XLOOKUP(L51+1,'DGI TABLE'!$A$2:$A$91,'DGI TABLE'!$G$2:$G$91)-_xlfn.XLOOKUP(L51+F51,'DGI TABLE'!$A$2:$A$91,'DGI TABLE'!$G$2:$G$91)+_xlfn.XLOOKUP(L51+F51,'DGI TABLE'!$A$2:$A$91,'DGI TABLE'!$C$2:$C$91))/_xlfn.XLOOKUP(L51+1,'DGI TABLE'!$A$2:$A$91,'DGI TABLE'!$C$2:$C$91)</f>
        <v>0.704905375826394</v>
      </c>
      <c r="Q51" s="37" t="n">
        <f aca="false">(_xlfn.XLOOKUP(L51+1,'DGI TABLE'!$A$2:$A$91,'DGI TABLE'!$D$2:$D$91)-_xlfn.XLOOKUP(L51+H51,'DGI TABLE'!$A$2:$A$91,'DGI TABLE'!$D$2:$D$91))/_xlfn.XLOOKUP(L51+1,'DGI TABLE'!$A$2:$A$91,'DGI TABLE'!$C$2:$C$91)</f>
        <v>3.76345339567336</v>
      </c>
      <c r="R51" s="37" t="n">
        <f aca="false">_xlfn.XLOOKUP(L51,'DGI TABLE'!$A$2:$A$91,'DGI TABLE'!$F$2:$F$91)/_xlfn.XLOOKUP(L51,'DGI TABLE'!$A$2:$A$91,'DGI TABLE'!$C$2:$C$91)</f>
        <v>0.00182692296566983</v>
      </c>
      <c r="S51" s="37" t="n">
        <f aca="false">P51/Q51</f>
        <v>0.187302804556258</v>
      </c>
      <c r="T51" s="37" t="n">
        <f aca="false">O51+0.03/N51</f>
        <v>0.010020325696606</v>
      </c>
      <c r="U51" s="37" t="n">
        <f aca="false">MIN(S51,T51)</f>
        <v>0.010020325696606</v>
      </c>
      <c r="V51" s="37" t="n">
        <f aca="false">(_xlfn.XLOOKUP(L51+K51,'DGI TABLE'!$A$2:$A$91,'DGI TABLE'!$G$2:$G$91)-_xlfn.XLOOKUP(L51+F51,'DGI TABLE'!$A$2:$A$91,'DGI TABLE'!$G$2:$G$91)+_xlfn.XLOOKUP(L51+F51,'DGI TABLE'!$A$2:$A$91,'DGI TABLE'!$C$2:$C$91))/_xlfn.XLOOKUP(L51+K51,'DGI TABLE'!$A$2:$A$91,'DGI TABLE'!$C$2:$C$91)</f>
        <v>0.761327184632159</v>
      </c>
      <c r="W51" s="37" t="n">
        <f aca="false">(_xlfn.XLOOKUP(L51+K51,'DGI TABLE'!$A$2:$A$91,'DGI TABLE'!$D$2:$D$91)-_xlfn.XLOOKUP(L51+H51,'DGI TABLE'!$A$2:$A$91,'DGI TABLE'!$D$2:$D$91))/_xlfn.XLOOKUP(L51+K51,'DGI TABLE'!$A$2:$A$91,'DGI TABLE'!$C$2:$C$91)</f>
        <v>1.95944229535953</v>
      </c>
      <c r="X51" s="37" t="n">
        <f aca="false">G51*(V51-(U51*W51))</f>
        <v>111253.940197343</v>
      </c>
      <c r="Y51" s="36"/>
    </row>
    <row r="52" customFormat="false" ht="14.25" hidden="false" customHeight="false" outlineLevel="0" collapsed="false">
      <c r="A52" s="37" t="n">
        <v>51</v>
      </c>
      <c r="B52" s="37" t="s">
        <v>125</v>
      </c>
      <c r="C52" s="37" t="s">
        <v>217</v>
      </c>
      <c r="D52" s="37" t="n">
        <v>38</v>
      </c>
      <c r="E52" s="37" t="s">
        <v>41</v>
      </c>
      <c r="F52" s="37" t="n">
        <v>20</v>
      </c>
      <c r="G52" s="37" t="n">
        <v>125000</v>
      </c>
      <c r="H52" s="37" t="n">
        <v>5</v>
      </c>
      <c r="I52" s="37" t="s">
        <v>216</v>
      </c>
      <c r="J52" s="37" t="n">
        <v>0</v>
      </c>
      <c r="K52" s="37" t="n">
        <v>3</v>
      </c>
      <c r="L52" s="37" t="n">
        <f aca="false">IF(C52="F",D52-3,D52)</f>
        <v>38</v>
      </c>
      <c r="M52" s="37" t="n">
        <f aca="false">(_xlfn.XLOOKUP(L52,'DGI TABLE'!$A$2:$A$91,'DGI TABLE'!$G$2:$G$91)-_xlfn.XLOOKUP(L52+F52,'DGI TABLE'!$A$2:$A$91,'DGI TABLE'!$G$2:$G$91))/_xlfn.XLOOKUP(L52,'DGI TABLE'!$A$2:$A$91,'DGI TABLE'!$C$2:$C$91)</f>
        <v>0.0693870946525679</v>
      </c>
      <c r="N52" s="37" t="n">
        <f aca="false">(_xlfn.XLOOKUP(L52,'DGI TABLE'!$A$2:$A$91,'DGI TABLE'!$D$2:$D$91)-_xlfn.XLOOKUP(L52+H52,'DGI TABLE'!$A$2:$A$91,'DGI TABLE'!$D$2:$D$91))/_xlfn.XLOOKUP(L52,'DGI TABLE'!$A$2:$A$91,'DGI TABLE'!$C$2:$C$91)</f>
        <v>4.60725320406461</v>
      </c>
      <c r="O52" s="37" t="n">
        <f aca="false">M52/N52</f>
        <v>0.0150604040149895</v>
      </c>
      <c r="P52" s="37" t="n">
        <f aca="false">(_xlfn.XLOOKUP(L52+1,'DGI TABLE'!$A$2:$A$91,'DGI TABLE'!$G$2:$G$91)-_xlfn.XLOOKUP(L52+F52,'DGI TABLE'!$A$2:$A$91,'DGI TABLE'!$G$2:$G$91)+_xlfn.XLOOKUP(L52+F52,'DGI TABLE'!$A$2:$A$91,'DGI TABLE'!$C$2:$C$91))/_xlfn.XLOOKUP(L52+1,'DGI TABLE'!$A$2:$A$91,'DGI TABLE'!$C$2:$C$91)</f>
        <v>0.491744764145371</v>
      </c>
      <c r="Q52" s="37" t="n">
        <f aca="false">(_xlfn.XLOOKUP(L52+1,'DGI TABLE'!$A$2:$A$91,'DGI TABLE'!$D$2:$D$91)-_xlfn.XLOOKUP(L52+H52,'DGI TABLE'!$A$2:$A$91,'DGI TABLE'!$D$2:$D$91))/_xlfn.XLOOKUP(L52+1,'DGI TABLE'!$A$2:$A$91,'DGI TABLE'!$C$2:$C$91)</f>
        <v>3.76053099760149</v>
      </c>
      <c r="R52" s="37" t="n">
        <f aca="false">_xlfn.XLOOKUP(L52,'DGI TABLE'!$A$2:$A$91,'DGI TABLE'!$F$2:$F$91)/_xlfn.XLOOKUP(L52,'DGI TABLE'!$A$2:$A$91,'DGI TABLE'!$C$2:$C$91)</f>
        <v>0.00229807741175556</v>
      </c>
      <c r="S52" s="37" t="n">
        <f aca="false">P52/Q52</f>
        <v>0.130764714998763</v>
      </c>
      <c r="T52" s="37" t="n">
        <f aca="false">O52+0.03/N52</f>
        <v>0.0215718759639445</v>
      </c>
      <c r="U52" s="37" t="n">
        <f aca="false">MIN(S52,T52)</f>
        <v>0.0215718759639445</v>
      </c>
      <c r="V52" s="37" t="n">
        <f aca="false">(_xlfn.XLOOKUP(L52+K52,'DGI TABLE'!$A$2:$A$91,'DGI TABLE'!$G$2:$G$91)-_xlfn.XLOOKUP(L52+F52,'DGI TABLE'!$A$2:$A$91,'DGI TABLE'!$G$2:$G$91)+_xlfn.XLOOKUP(L52+F52,'DGI TABLE'!$A$2:$A$91,'DGI TABLE'!$C$2:$C$91))/_xlfn.XLOOKUP(L52+K52,'DGI TABLE'!$A$2:$A$91,'DGI TABLE'!$C$2:$C$91)</f>
        <v>0.52929686813323</v>
      </c>
      <c r="W52" s="37" t="n">
        <f aca="false">(_xlfn.XLOOKUP(L52+K52,'DGI TABLE'!$A$2:$A$91,'DGI TABLE'!$D$2:$D$91)-_xlfn.XLOOKUP(L52+H52,'DGI TABLE'!$A$2:$A$91,'DGI TABLE'!$D$2:$D$91))/_xlfn.XLOOKUP(L52+K52,'DGI TABLE'!$A$2:$A$91,'DGI TABLE'!$C$2:$C$91)</f>
        <v>1.95872111998553</v>
      </c>
      <c r="X52" s="37" t="n">
        <f aca="false">G52*(V52-(U52*W52))</f>
        <v>60880.4473856179</v>
      </c>
      <c r="Y52" s="36"/>
    </row>
    <row r="53" customFormat="false" ht="14.25" hidden="false" customHeight="false" outlineLevel="0" collapsed="false">
      <c r="A53" s="37" t="n">
        <v>52</v>
      </c>
      <c r="B53" s="37" t="s">
        <v>138</v>
      </c>
      <c r="C53" s="37" t="s">
        <v>215</v>
      </c>
      <c r="D53" s="37" t="n">
        <v>58</v>
      </c>
      <c r="E53" s="37" t="s">
        <v>41</v>
      </c>
      <c r="F53" s="37" t="n">
        <v>15</v>
      </c>
      <c r="G53" s="37" t="n">
        <v>50000</v>
      </c>
      <c r="H53" s="37" t="n">
        <v>10</v>
      </c>
      <c r="I53" s="37" t="s">
        <v>216</v>
      </c>
      <c r="J53" s="37" t="n">
        <v>0</v>
      </c>
      <c r="K53" s="37" t="n">
        <v>3</v>
      </c>
      <c r="L53" s="37" t="n">
        <f aca="false">IF(C53="F",D53-3,D53)</f>
        <v>55</v>
      </c>
      <c r="M53" s="37" t="n">
        <f aca="false">(_xlfn.XLOOKUP(L53,'DGI TABLE'!$A$2:$A$91,'DGI TABLE'!$G$2:$G$91)-_xlfn.XLOOKUP(L53+F53,'DGI TABLE'!$A$2:$A$91,'DGI TABLE'!$G$2:$G$91))/_xlfn.XLOOKUP(L53,'DGI TABLE'!$A$2:$A$91,'DGI TABLE'!$C$2:$C$91)</f>
        <v>0.178101515965857</v>
      </c>
      <c r="N53" s="37" t="n">
        <f aca="false">(_xlfn.XLOOKUP(L53,'DGI TABLE'!$A$2:$A$91,'DGI TABLE'!$D$2:$D$91)-_xlfn.XLOOKUP(L53+H53,'DGI TABLE'!$A$2:$A$91,'DGI TABLE'!$D$2:$D$91))/_xlfn.XLOOKUP(L53,'DGI TABLE'!$A$2:$A$91,'DGI TABLE'!$C$2:$C$91)</f>
        <v>8.00369707114615</v>
      </c>
      <c r="O53" s="37" t="n">
        <f aca="false">M53/N53</f>
        <v>0.0222524059047567</v>
      </c>
      <c r="P53" s="37" t="n">
        <f aca="false">(_xlfn.XLOOKUP(L53+1,'DGI TABLE'!$A$2:$A$91,'DGI TABLE'!$G$2:$G$91)-_xlfn.XLOOKUP(L53+F53,'DGI TABLE'!$A$2:$A$91,'DGI TABLE'!$G$2:$G$91)+_xlfn.XLOOKUP(L53+F53,'DGI TABLE'!$A$2:$A$91,'DGI TABLE'!$C$2:$C$91))/_xlfn.XLOOKUP(L53+1,'DGI TABLE'!$A$2:$A$91,'DGI TABLE'!$C$2:$C$91)</f>
        <v>0.613202924731577</v>
      </c>
      <c r="Q53" s="37" t="n">
        <f aca="false">(_xlfn.XLOOKUP(L53+1,'DGI TABLE'!$A$2:$A$91,'DGI TABLE'!$D$2:$D$91)-_xlfn.XLOOKUP(L53+H53,'DGI TABLE'!$A$2:$A$91,'DGI TABLE'!$D$2:$D$91))/_xlfn.XLOOKUP(L53+1,'DGI TABLE'!$A$2:$A$91,'DGI TABLE'!$C$2:$C$91)</f>
        <v>7.35987225152158</v>
      </c>
      <c r="R53" s="37" t="n">
        <f aca="false">_xlfn.XLOOKUP(L53,'DGI TABLE'!$A$2:$A$91,'DGI TABLE'!$F$2:$F$91)/_xlfn.XLOOKUP(L53,'DGI TABLE'!$A$2:$A$91,'DGI TABLE'!$C$2:$C$91)</f>
        <v>0.00993269131837168</v>
      </c>
      <c r="S53" s="37" t="n">
        <f aca="false">P53/Q53</f>
        <v>0.0833170609183881</v>
      </c>
      <c r="T53" s="37" t="n">
        <f aca="false">O53+0.03/N53</f>
        <v>0.026000673703166</v>
      </c>
      <c r="U53" s="37" t="n">
        <f aca="false">MIN(S53,T53)</f>
        <v>0.026000673703166</v>
      </c>
      <c r="V53" s="37" t="n">
        <f aca="false">(_xlfn.XLOOKUP(L53+K53,'DGI TABLE'!$A$2:$A$91,'DGI TABLE'!$G$2:$G$91)-_xlfn.XLOOKUP(L53+F53,'DGI TABLE'!$A$2:$A$91,'DGI TABLE'!$G$2:$G$91)+_xlfn.XLOOKUP(L53+F53,'DGI TABLE'!$A$2:$A$91,'DGI TABLE'!$C$2:$C$91))/_xlfn.XLOOKUP(L53+K53,'DGI TABLE'!$A$2:$A$91,'DGI TABLE'!$C$2:$C$91)</f>
        <v>0.654788004661814</v>
      </c>
      <c r="W53" s="37" t="n">
        <f aca="false">(_xlfn.XLOOKUP(L53+K53,'DGI TABLE'!$A$2:$A$91,'DGI TABLE'!$D$2:$D$91)-_xlfn.XLOOKUP(L53+H53,'DGI TABLE'!$A$2:$A$91,'DGI TABLE'!$D$2:$D$91))/_xlfn.XLOOKUP(L53+K53,'DGI TABLE'!$A$2:$A$91,'DGI TABLE'!$C$2:$C$91)</f>
        <v>5.98936568510361</v>
      </c>
      <c r="X53" s="37" t="n">
        <f aca="false">G53*(V53-(U53*W53))</f>
        <v>24953.0230897248</v>
      </c>
      <c r="Y53" s="36"/>
    </row>
    <row r="54" customFormat="false" ht="14.25" hidden="false" customHeight="false" outlineLevel="0" collapsed="false">
      <c r="A54" s="37" t="n">
        <v>53</v>
      </c>
      <c r="B54" s="37" t="s">
        <v>154</v>
      </c>
      <c r="C54" s="37" t="s">
        <v>215</v>
      </c>
      <c r="D54" s="37" t="n">
        <v>45</v>
      </c>
      <c r="E54" s="37" t="s">
        <v>41</v>
      </c>
      <c r="F54" s="37" t="n">
        <v>10</v>
      </c>
      <c r="G54" s="37" t="n">
        <v>125000</v>
      </c>
      <c r="H54" s="37" t="n">
        <v>5</v>
      </c>
      <c r="I54" s="37" t="s">
        <v>216</v>
      </c>
      <c r="J54" s="37" t="n">
        <v>0</v>
      </c>
      <c r="K54" s="37" t="n">
        <v>3</v>
      </c>
      <c r="L54" s="37" t="n">
        <f aca="false">IF(C54="F",D54-3,D54)</f>
        <v>42</v>
      </c>
      <c r="M54" s="37" t="n">
        <f aca="false">(_xlfn.XLOOKUP(L54,'DGI TABLE'!$A$2:$A$91,'DGI TABLE'!$G$2:$G$91)-_xlfn.XLOOKUP(L54+F54,'DGI TABLE'!$A$2:$A$91,'DGI TABLE'!$G$2:$G$91))/_xlfn.XLOOKUP(L54,'DGI TABLE'!$A$2:$A$91,'DGI TABLE'!$C$2:$C$91)</f>
        <v>0.0383607981182153</v>
      </c>
      <c r="N54" s="37" t="n">
        <f aca="false">(_xlfn.XLOOKUP(L54,'DGI TABLE'!$A$2:$A$91,'DGI TABLE'!$D$2:$D$91)-_xlfn.XLOOKUP(L54+H54,'DGI TABLE'!$A$2:$A$91,'DGI TABLE'!$D$2:$D$91))/_xlfn.XLOOKUP(L54,'DGI TABLE'!$A$2:$A$91,'DGI TABLE'!$C$2:$C$91)</f>
        <v>4.59885469646192</v>
      </c>
      <c r="O54" s="37" t="n">
        <f aca="false">M54/N54</f>
        <v>0.00834138076763498</v>
      </c>
      <c r="P54" s="37" t="n">
        <f aca="false">(_xlfn.XLOOKUP(L54+1,'DGI TABLE'!$A$2:$A$91,'DGI TABLE'!$G$2:$G$91)-_xlfn.XLOOKUP(L54+F54,'DGI TABLE'!$A$2:$A$91,'DGI TABLE'!$G$2:$G$91)+_xlfn.XLOOKUP(L54+F54,'DGI TABLE'!$A$2:$A$91,'DGI TABLE'!$C$2:$C$91))/_xlfn.XLOOKUP(L54+1,'DGI TABLE'!$A$2:$A$91,'DGI TABLE'!$C$2:$C$91)</f>
        <v>0.707388404969192</v>
      </c>
      <c r="Q54" s="37" t="n">
        <f aca="false">(_xlfn.XLOOKUP(L54+1,'DGI TABLE'!$A$2:$A$91,'DGI TABLE'!$D$2:$D$91)-_xlfn.XLOOKUP(L54+H54,'DGI TABLE'!$A$2:$A$91,'DGI TABLE'!$D$2:$D$91))/_xlfn.XLOOKUP(L54+1,'DGI TABLE'!$A$2:$A$91,'DGI TABLE'!$C$2:$C$91)</f>
        <v>3.7547866735528</v>
      </c>
      <c r="R54" s="37" t="n">
        <f aca="false">_xlfn.XLOOKUP(L54,'DGI TABLE'!$A$2:$A$91,'DGI TABLE'!$F$2:$F$91)/_xlfn.XLOOKUP(L54,'DGI TABLE'!$A$2:$A$91,'DGI TABLE'!$C$2:$C$91)</f>
        <v>0.00306730552618788</v>
      </c>
      <c r="S54" s="37" t="n">
        <f aca="false">P54/Q54</f>
        <v>0.188396430069317</v>
      </c>
      <c r="T54" s="37" t="n">
        <f aca="false">O54+0.03/N54</f>
        <v>0.0148647440787394</v>
      </c>
      <c r="U54" s="37" t="n">
        <f aca="false">MIN(S54,T54)</f>
        <v>0.0148647440787394</v>
      </c>
      <c r="V54" s="37" t="n">
        <f aca="false">(_xlfn.XLOOKUP(L54+K54,'DGI TABLE'!$A$2:$A$91,'DGI TABLE'!$G$2:$G$91)-_xlfn.XLOOKUP(L54+F54,'DGI TABLE'!$A$2:$A$91,'DGI TABLE'!$G$2:$G$91)+_xlfn.XLOOKUP(L54+F54,'DGI TABLE'!$A$2:$A$91,'DGI TABLE'!$C$2:$C$91))/_xlfn.XLOOKUP(L54+K54,'DGI TABLE'!$A$2:$A$91,'DGI TABLE'!$C$2:$C$91)</f>
        <v>0.76324176841105</v>
      </c>
      <c r="W54" s="37" t="n">
        <f aca="false">(_xlfn.XLOOKUP(L54+K54,'DGI TABLE'!$A$2:$A$91,'DGI TABLE'!$D$2:$D$91)-_xlfn.XLOOKUP(L54+H54,'DGI TABLE'!$A$2:$A$91,'DGI TABLE'!$D$2:$D$91))/_xlfn.XLOOKUP(L54+K54,'DGI TABLE'!$A$2:$A$91,'DGI TABLE'!$C$2:$C$91)</f>
        <v>1.95750957173186</v>
      </c>
      <c r="X54" s="37" t="n">
        <f aca="false">G54*(V54-(U54*W54))</f>
        <v>91767.9861994466</v>
      </c>
      <c r="Y54" s="36"/>
    </row>
    <row r="55" customFormat="false" ht="14.25" hidden="false" customHeight="false" outlineLevel="0" collapsed="false">
      <c r="A55" s="37" t="n">
        <v>54</v>
      </c>
      <c r="B55" s="37" t="s">
        <v>170</v>
      </c>
      <c r="C55" s="37" t="s">
        <v>215</v>
      </c>
      <c r="D55" s="37" t="n">
        <v>52</v>
      </c>
      <c r="E55" s="37" t="s">
        <v>41</v>
      </c>
      <c r="F55" s="37" t="n">
        <v>15</v>
      </c>
      <c r="G55" s="37" t="n">
        <v>60000</v>
      </c>
      <c r="H55" s="37" t="n">
        <v>10</v>
      </c>
      <c r="I55" s="37" t="s">
        <v>216</v>
      </c>
      <c r="J55" s="37" t="n">
        <v>0</v>
      </c>
      <c r="K55" s="37" t="n">
        <v>1</v>
      </c>
      <c r="L55" s="37" t="n">
        <f aca="false">IF(C55="F",D55-3,D55)</f>
        <v>49</v>
      </c>
      <c r="M55" s="37" t="n">
        <f aca="false">(_xlfn.XLOOKUP(L55,'DGI TABLE'!$A$2:$A$91,'DGI TABLE'!$G$2:$G$91)-_xlfn.XLOOKUP(L55+F55,'DGI TABLE'!$A$2:$A$91,'DGI TABLE'!$G$2:$G$91))/_xlfn.XLOOKUP(L55,'DGI TABLE'!$A$2:$A$91,'DGI TABLE'!$C$2:$C$91)</f>
        <v>0.112983754309742</v>
      </c>
      <c r="N55" s="37" t="n">
        <f aca="false">(_xlfn.XLOOKUP(L55,'DGI TABLE'!$A$2:$A$91,'DGI TABLE'!$D$2:$D$91)-_xlfn.XLOOKUP(L55+H55,'DGI TABLE'!$A$2:$A$91,'DGI TABLE'!$D$2:$D$91))/_xlfn.XLOOKUP(L55,'DGI TABLE'!$A$2:$A$91,'DGI TABLE'!$C$2:$C$91)</f>
        <v>8.1683884917181</v>
      </c>
      <c r="O55" s="37" t="n">
        <f aca="false">M55/N55</f>
        <v>0.0138318291820101</v>
      </c>
      <c r="P55" s="37" t="n">
        <f aca="false">(_xlfn.XLOOKUP(L55+1,'DGI TABLE'!$A$2:$A$91,'DGI TABLE'!$G$2:$G$91)-_xlfn.XLOOKUP(L55+F55,'DGI TABLE'!$A$2:$A$91,'DGI TABLE'!$G$2:$G$91)+_xlfn.XLOOKUP(L55+F55,'DGI TABLE'!$A$2:$A$91,'DGI TABLE'!$C$2:$C$91))/_xlfn.XLOOKUP(L55+1,'DGI TABLE'!$A$2:$A$91,'DGI TABLE'!$C$2:$C$91)</f>
        <v>0.600051720933556</v>
      </c>
      <c r="Q55" s="37" t="n">
        <f aca="false">(_xlfn.XLOOKUP(L55+1,'DGI TABLE'!$A$2:$A$91,'DGI TABLE'!$D$2:$D$91)-_xlfn.XLOOKUP(L55+H55,'DGI TABLE'!$A$2:$A$91,'DGI TABLE'!$D$2:$D$91))/_xlfn.XLOOKUP(L55+1,'DGI TABLE'!$A$2:$A$91,'DGI TABLE'!$C$2:$C$91)</f>
        <v>7.50035164906802</v>
      </c>
      <c r="R55" s="37" t="n">
        <f aca="false">_xlfn.XLOOKUP(L55,'DGI TABLE'!$A$2:$A$91,'DGI TABLE'!$F$2:$F$91)/_xlfn.XLOOKUP(L55,'DGI TABLE'!$A$2:$A$91,'DGI TABLE'!$C$2:$C$91)</f>
        <v>0.00579807615190242</v>
      </c>
      <c r="S55" s="37" t="n">
        <f aca="false">P55/Q55</f>
        <v>0.0800031450536213</v>
      </c>
      <c r="T55" s="37" t="n">
        <f aca="false">O55+0.03/N55</f>
        <v>0.0175045242344574</v>
      </c>
      <c r="U55" s="37" t="n">
        <f aca="false">MIN(S55,T55)</f>
        <v>0.0175045242344574</v>
      </c>
      <c r="V55" s="37" t="n">
        <f aca="false">(_xlfn.XLOOKUP(L55+K55,'DGI TABLE'!$A$2:$A$91,'DGI TABLE'!$G$2:$G$91)-_xlfn.XLOOKUP(L55+F55,'DGI TABLE'!$A$2:$A$91,'DGI TABLE'!$G$2:$G$91)+_xlfn.XLOOKUP(L55+F55,'DGI TABLE'!$A$2:$A$91,'DGI TABLE'!$C$2:$C$91))/_xlfn.XLOOKUP(L55+K55,'DGI TABLE'!$A$2:$A$91,'DGI TABLE'!$C$2:$C$91)</f>
        <v>0.600051720933556</v>
      </c>
      <c r="W55" s="37" t="n">
        <f aca="false">(_xlfn.XLOOKUP(L55+K55,'DGI TABLE'!$A$2:$A$91,'DGI TABLE'!$D$2:$D$91)-_xlfn.XLOOKUP(L55+H55,'DGI TABLE'!$A$2:$A$91,'DGI TABLE'!$D$2:$D$91))/_xlfn.XLOOKUP(L55+K55,'DGI TABLE'!$A$2:$A$91,'DGI TABLE'!$C$2:$C$91)</f>
        <v>7.50035164906802</v>
      </c>
      <c r="X55" s="37" t="n">
        <f aca="false">G55*(V55-(U55*W55))</f>
        <v>28125.6980235296</v>
      </c>
      <c r="Y55" s="36"/>
    </row>
    <row r="56" customFormat="false" ht="14.25" hidden="false" customHeight="false" outlineLevel="0" collapsed="false">
      <c r="A56" s="37" t="n">
        <v>55</v>
      </c>
      <c r="B56" s="37" t="s">
        <v>192</v>
      </c>
      <c r="C56" s="37" t="s">
        <v>215</v>
      </c>
      <c r="D56" s="37" t="n">
        <v>22</v>
      </c>
      <c r="E56" s="37" t="s">
        <v>41</v>
      </c>
      <c r="F56" s="37" t="n">
        <v>5</v>
      </c>
      <c r="G56" s="37" t="n">
        <v>120000</v>
      </c>
      <c r="H56" s="37" t="n">
        <v>3</v>
      </c>
      <c r="I56" s="37" t="s">
        <v>216</v>
      </c>
      <c r="J56" s="37" t="n">
        <v>0</v>
      </c>
      <c r="K56" s="37" t="n">
        <v>2</v>
      </c>
      <c r="L56" s="37" t="n">
        <f aca="false">IF(C56="F",D56-3,D56)</f>
        <v>19</v>
      </c>
      <c r="M56" s="37" t="n">
        <f aca="false">(_xlfn.XLOOKUP(L56,'DGI TABLE'!$A$2:$A$91,'DGI TABLE'!$G$2:$G$91)-_xlfn.XLOOKUP(L56+F56,'DGI TABLE'!$A$2:$A$91,'DGI TABLE'!$G$2:$G$91))/_xlfn.XLOOKUP(L56,'DGI TABLE'!$A$2:$A$91,'DGI TABLE'!$C$2:$C$91)</f>
        <v>0.0089183333968354</v>
      </c>
      <c r="N56" s="37" t="n">
        <f aca="false">(_xlfn.XLOOKUP(L56,'DGI TABLE'!$A$2:$A$91,'DGI TABLE'!$D$2:$D$91)-_xlfn.XLOOKUP(L56+H56,'DGI TABLE'!$A$2:$A$91,'DGI TABLE'!$D$2:$D$91))/_xlfn.XLOOKUP(L56,'DGI TABLE'!$A$2:$A$91,'DGI TABLE'!$C$2:$C$91)</f>
        <v>2.88102157726514</v>
      </c>
      <c r="O56" s="37" t="n">
        <f aca="false">M56/N56</f>
        <v>0.00309554550622328</v>
      </c>
      <c r="P56" s="37" t="n">
        <f aca="false">(_xlfn.XLOOKUP(L56+1,'DGI TABLE'!$A$2:$A$91,'DGI TABLE'!$G$2:$G$91)-_xlfn.XLOOKUP(L56+F56,'DGI TABLE'!$A$2:$A$91,'DGI TABLE'!$G$2:$G$91)+_xlfn.XLOOKUP(L56+F56,'DGI TABLE'!$A$2:$A$91,'DGI TABLE'!$C$2:$C$91))/_xlfn.XLOOKUP(L56+1,'DGI TABLE'!$A$2:$A$91,'DGI TABLE'!$C$2:$C$91)</f>
        <v>0.855225667423812</v>
      </c>
      <c r="Q56" s="37" t="n">
        <f aca="false">(_xlfn.XLOOKUP(L56+1,'DGI TABLE'!$A$2:$A$91,'DGI TABLE'!$D$2:$D$91)-_xlfn.XLOOKUP(L56+H56,'DGI TABLE'!$A$2:$A$91,'DGI TABLE'!$D$2:$D$91))/_xlfn.XLOOKUP(L56+1,'DGI TABLE'!$A$2:$A$91,'DGI TABLE'!$C$2:$C$91)</f>
        <v>1.95971154969812</v>
      </c>
      <c r="R56" s="37" t="n">
        <f aca="false">_xlfn.XLOOKUP(L56,'DGI TABLE'!$A$2:$A$91,'DGI TABLE'!$F$2:$F$91)/_xlfn.XLOOKUP(L56,'DGI TABLE'!$A$2:$A$91,'DGI TABLE'!$C$2:$C$91)</f>
        <v>0.00169230826402352</v>
      </c>
      <c r="S56" s="37" t="n">
        <f aca="false">P56/Q56</f>
        <v>0.436403851146131</v>
      </c>
      <c r="T56" s="37" t="n">
        <f aca="false">O56+0.03/N56</f>
        <v>0.0135085185421552</v>
      </c>
      <c r="U56" s="37" t="n">
        <f aca="false">MIN(S56,T56)</f>
        <v>0.0135085185421552</v>
      </c>
      <c r="V56" s="37" t="n">
        <f aca="false">(_xlfn.XLOOKUP(L56+K56,'DGI TABLE'!$A$2:$A$91,'DGI TABLE'!$G$2:$G$91)-_xlfn.XLOOKUP(L56+F56,'DGI TABLE'!$A$2:$A$91,'DGI TABLE'!$G$2:$G$91)+_xlfn.XLOOKUP(L56+F56,'DGI TABLE'!$A$2:$A$91,'DGI TABLE'!$C$2:$C$91))/_xlfn.XLOOKUP(L56+K56,'DGI TABLE'!$A$2:$A$91,'DGI TABLE'!$C$2:$C$91)</f>
        <v>0.88922423046008</v>
      </c>
      <c r="W56" s="37" t="n">
        <f aca="false">(_xlfn.XLOOKUP(L56+K56,'DGI TABLE'!$A$2:$A$91,'DGI TABLE'!$D$2:$D$91)-_xlfn.XLOOKUP(L56+H56,'DGI TABLE'!$A$2:$A$91,'DGI TABLE'!$D$2:$D$91))/_xlfn.XLOOKUP(L56+K56,'DGI TABLE'!$A$2:$A$91,'DGI TABLE'!$C$2:$C$91)</f>
        <v>1.00000002318473</v>
      </c>
      <c r="X56" s="37" t="n">
        <f aca="false">G56*(V56-(U56*W56))</f>
        <v>105085.885392568</v>
      </c>
      <c r="Y56" s="36"/>
    </row>
    <row r="57" customFormat="false" ht="14.25" hidden="false" customHeight="false" outlineLevel="0" collapsed="false">
      <c r="A57" s="37" t="n">
        <v>56</v>
      </c>
      <c r="B57" s="37" t="s">
        <v>77</v>
      </c>
      <c r="C57" s="37" t="s">
        <v>215</v>
      </c>
      <c r="D57" s="37" t="n">
        <v>25</v>
      </c>
      <c r="E57" s="37" t="s">
        <v>43</v>
      </c>
      <c r="F57" s="37" t="n">
        <v>15</v>
      </c>
      <c r="G57" s="37" t="n">
        <v>50000</v>
      </c>
      <c r="H57" s="37" t="n">
        <v>10</v>
      </c>
      <c r="I57" s="37" t="s">
        <v>218</v>
      </c>
      <c r="J57" s="37" t="n">
        <v>0.05</v>
      </c>
      <c r="K57" s="37" t="n">
        <v>4</v>
      </c>
      <c r="L57" s="37" t="n">
        <f aca="false">IF(C57="F",D57-3,D57)</f>
        <v>22</v>
      </c>
      <c r="M57" s="37" t="n">
        <f aca="false">(_xlfn.XLOOKUP(L57,'DGI TABLE'!$A$2:$A$91,'DGI TABLE'!$G$2:$G$91)-_xlfn.XLOOKUP(L57+F57,'DGI TABLE'!$A$2:$A$91,'DGI TABLE'!$G$2:$G$91))/_xlfn.XLOOKUP(L57,'DGI TABLE'!$A$2:$A$91,'DGI TABLE'!$C$2:$C$91)</f>
        <v>0.0216488567192121</v>
      </c>
      <c r="N57" s="37" t="n">
        <f aca="false">(_xlfn.XLOOKUP(L57,'DGI TABLE'!$A$2:$A$91,'DGI TABLE'!$D$2:$D$91)-_xlfn.XLOOKUP(L57+H57,'DGI TABLE'!$A$2:$A$91,'DGI TABLE'!$D$2:$D$91))/_xlfn.XLOOKUP(L57,'DGI TABLE'!$A$2:$A$91,'DGI TABLE'!$C$2:$C$91)</f>
        <v>8.36287119286052</v>
      </c>
      <c r="O57" s="37" t="n">
        <f aca="false">M57/N57</f>
        <v>0.00258868709321914</v>
      </c>
      <c r="P57" s="37" t="n">
        <f aca="false">(_xlfn.XLOOKUP(L57+1,'DGI TABLE'!$A$2:$A$91,'DGI TABLE'!$G$2:$G$91)-_xlfn.XLOOKUP(L57+F57,'DGI TABLE'!$A$2:$A$91,'DGI TABLE'!$G$2:$G$91)+_xlfn.XLOOKUP(L57+F57,'DGI TABLE'!$A$2:$A$91,'DGI TABLE'!$C$2:$C$91))/_xlfn.XLOOKUP(L57+1,'DGI TABLE'!$A$2:$A$91,'DGI TABLE'!$C$2:$C$91)</f>
        <v>0.582333946096409</v>
      </c>
      <c r="Q57" s="37" t="n">
        <f aca="false">(_xlfn.XLOOKUP(L57+1,'DGI TABLE'!$A$2:$A$91,'DGI TABLE'!$D$2:$D$91)-_xlfn.XLOOKUP(L57+H57,'DGI TABLE'!$A$2:$A$91,'DGI TABLE'!$D$2:$D$91))/_xlfn.XLOOKUP(L57+1,'DGI TABLE'!$A$2:$A$91,'DGI TABLE'!$C$2:$C$91)</f>
        <v>7.67419246670359</v>
      </c>
      <c r="R57" s="37" t="n">
        <f aca="false">_xlfn.XLOOKUP(L57,'DGI TABLE'!$A$2:$A$91,'DGI TABLE'!$F$2:$F$91)/_xlfn.XLOOKUP(L57,'DGI TABLE'!$A$2:$A$91,'DGI TABLE'!$C$2:$C$91)</f>
        <v>0.00210576842621671</v>
      </c>
      <c r="S57" s="37" t="n">
        <f aca="false">P57/Q57</f>
        <v>0.0758821138019421</v>
      </c>
      <c r="T57" s="37" t="n">
        <f aca="false">O57+0.03/N57</f>
        <v>0.00617597180778121</v>
      </c>
      <c r="U57" s="37" t="n">
        <f aca="false">MIN(S57,T57)</f>
        <v>0.00617597180778121</v>
      </c>
      <c r="V57" s="37" t="n">
        <f aca="false">(_xlfn.XLOOKUP(L57+K57,'DGI TABLE'!$A$2:$A$91,'DGI TABLE'!$G$2:$G$91)-_xlfn.XLOOKUP(L57+F57,'DGI TABLE'!$A$2:$A$91,'DGI TABLE'!$G$2:$G$91)+_xlfn.XLOOKUP(L57+F57,'DGI TABLE'!$A$2:$A$91,'DGI TABLE'!$C$2:$C$91))/_xlfn.XLOOKUP(L57+K57,'DGI TABLE'!$A$2:$A$91,'DGI TABLE'!$C$2:$C$91)</f>
        <v>0.652589923383408</v>
      </c>
      <c r="W57" s="37" t="n">
        <f aca="false">(_xlfn.XLOOKUP(L57+K57,'DGI TABLE'!$A$2:$A$91,'DGI TABLE'!$D$2:$D$91)-_xlfn.XLOOKUP(L57+H57,'DGI TABLE'!$A$2:$A$91,'DGI TABLE'!$D$2:$D$91))/_xlfn.XLOOKUP(L57+K57,'DGI TABLE'!$A$2:$A$91,'DGI TABLE'!$C$2:$C$91)</f>
        <v>5.42705444809476</v>
      </c>
      <c r="X57" s="37" t="n">
        <f aca="false">G57*((((1+J57)^(K57-1))*V57)-(U57*W57))</f>
        <v>36096.8537392996</v>
      </c>
      <c r="Y57" s="36"/>
    </row>
    <row r="58" customFormat="false" ht="14.25" hidden="false" customHeight="false" outlineLevel="0" collapsed="false">
      <c r="A58" s="37" t="n">
        <v>57</v>
      </c>
      <c r="B58" s="37" t="s">
        <v>83</v>
      </c>
      <c r="C58" s="37" t="s">
        <v>215</v>
      </c>
      <c r="D58" s="37" t="n">
        <v>19</v>
      </c>
      <c r="E58" s="37" t="s">
        <v>43</v>
      </c>
      <c r="F58" s="37" t="n">
        <v>10</v>
      </c>
      <c r="G58" s="37" t="n">
        <v>200000</v>
      </c>
      <c r="H58" s="37" t="n">
        <v>5</v>
      </c>
      <c r="I58" s="37" t="s">
        <v>218</v>
      </c>
      <c r="J58" s="37" t="n">
        <v>0.05</v>
      </c>
      <c r="K58" s="37" t="n">
        <v>3</v>
      </c>
      <c r="L58" s="37" t="n">
        <f aca="false">IF(C58="F",D58-3,D58)</f>
        <v>16</v>
      </c>
      <c r="M58" s="37" t="n">
        <f aca="false">(_xlfn.XLOOKUP(L58,'DGI TABLE'!$A$2:$A$91,'DGI TABLE'!$G$2:$G$91)-_xlfn.XLOOKUP(L58+F58,'DGI TABLE'!$A$2:$A$91,'DGI TABLE'!$G$2:$G$91))/_xlfn.XLOOKUP(L58,'DGI TABLE'!$A$2:$A$91,'DGI TABLE'!$C$2:$C$91)</f>
        <v>0.0149968530512514</v>
      </c>
      <c r="N58" s="37" t="n">
        <f aca="false">(_xlfn.XLOOKUP(L58,'DGI TABLE'!$A$2:$A$91,'DGI TABLE'!$D$2:$D$91)-_xlfn.XLOOKUP(L58+H58,'DGI TABLE'!$A$2:$A$91,'DGI TABLE'!$D$2:$D$91))/_xlfn.XLOOKUP(L58,'DGI TABLE'!$A$2:$A$91,'DGI TABLE'!$C$2:$C$91)</f>
        <v>4.61608846743445</v>
      </c>
      <c r="O58" s="37" t="n">
        <f aca="false">M58/N58</f>
        <v>0.00324882271149072</v>
      </c>
      <c r="P58" s="37" t="n">
        <f aca="false">(_xlfn.XLOOKUP(L58+1,'DGI TABLE'!$A$2:$A$91,'DGI TABLE'!$G$2:$G$91)-_xlfn.XLOOKUP(L58+F58,'DGI TABLE'!$A$2:$A$91,'DGI TABLE'!$G$2:$G$91)+_xlfn.XLOOKUP(L58+F58,'DGI TABLE'!$A$2:$A$91,'DGI TABLE'!$C$2:$C$91))/_xlfn.XLOOKUP(L58+1,'DGI TABLE'!$A$2:$A$91,'DGI TABLE'!$C$2:$C$91)</f>
        <v>0.704579493653909</v>
      </c>
      <c r="Q58" s="37" t="n">
        <f aca="false">(_xlfn.XLOOKUP(L58+1,'DGI TABLE'!$A$2:$A$91,'DGI TABLE'!$D$2:$D$91)-_xlfn.XLOOKUP(L58+H58,'DGI TABLE'!$A$2:$A$91,'DGI TABLE'!$D$2:$D$91))/_xlfn.XLOOKUP(L58+1,'DGI TABLE'!$A$2:$A$91,'DGI TABLE'!$C$2:$C$91)</f>
        <v>3.76630620544579</v>
      </c>
      <c r="R58" s="37" t="n">
        <f aca="false">_xlfn.XLOOKUP(L58,'DGI TABLE'!$A$2:$A$91,'DGI TABLE'!$F$2:$F$91)/_xlfn.XLOOKUP(L58,'DGI TABLE'!$A$2:$A$91,'DGI TABLE'!$C$2:$C$91)</f>
        <v>0.00142307774006596</v>
      </c>
      <c r="S58" s="37" t="n">
        <f aca="false">P58/Q58</f>
        <v>0.187074405324543</v>
      </c>
      <c r="T58" s="37" t="n">
        <f aca="false">O58+0.03/N58</f>
        <v>0.00974783160433232</v>
      </c>
      <c r="U58" s="37" t="n">
        <f aca="false">MIN(S58,T58)</f>
        <v>0.00974783160433232</v>
      </c>
      <c r="V58" s="37" t="n">
        <f aca="false">(_xlfn.XLOOKUP(L58+K58,'DGI TABLE'!$A$2:$A$91,'DGI TABLE'!$G$2:$G$91)-_xlfn.XLOOKUP(L58+F58,'DGI TABLE'!$A$2:$A$91,'DGI TABLE'!$G$2:$G$91)+_xlfn.XLOOKUP(L58+F58,'DGI TABLE'!$A$2:$A$91,'DGI TABLE'!$C$2:$C$91))/_xlfn.XLOOKUP(L58+K58,'DGI TABLE'!$A$2:$A$91,'DGI TABLE'!$C$2:$C$91)</f>
        <v>0.761255353609461</v>
      </c>
      <c r="W58" s="37" t="n">
        <f aca="false">(_xlfn.XLOOKUP(L58+K58,'DGI TABLE'!$A$2:$A$91,'DGI TABLE'!$D$2:$D$91)-_xlfn.XLOOKUP(L58+H58,'DGI TABLE'!$A$2:$A$91,'DGI TABLE'!$D$2:$D$91))/_xlfn.XLOOKUP(L58+K58,'DGI TABLE'!$A$2:$A$91,'DGI TABLE'!$C$2:$C$91)</f>
        <v>1.95984613503867</v>
      </c>
      <c r="X58" s="37" t="n">
        <f aca="false">G58*((((1+J58)^(K58-1))*V58)-(U58*W58))</f>
        <v>164035.955451934</v>
      </c>
      <c r="Y58" s="36"/>
    </row>
    <row r="59" customFormat="false" ht="14.25" hidden="false" customHeight="false" outlineLevel="0" collapsed="false">
      <c r="A59" s="37" t="n">
        <v>58</v>
      </c>
      <c r="B59" s="37" t="s">
        <v>106</v>
      </c>
      <c r="C59" s="37" t="s">
        <v>215</v>
      </c>
      <c r="D59" s="37" t="n">
        <v>28</v>
      </c>
      <c r="E59" s="37" t="s">
        <v>43</v>
      </c>
      <c r="F59" s="37" t="n">
        <v>15</v>
      </c>
      <c r="G59" s="37" t="n">
        <v>180000</v>
      </c>
      <c r="H59" s="37" t="n">
        <v>10</v>
      </c>
      <c r="I59" s="37" t="s">
        <v>218</v>
      </c>
      <c r="J59" s="37" t="n">
        <v>0.05</v>
      </c>
      <c r="K59" s="37" t="n">
        <v>1</v>
      </c>
      <c r="L59" s="37" t="n">
        <f aca="false">IF(C59="F",D59-3,D59)</f>
        <v>25</v>
      </c>
      <c r="M59" s="37" t="n">
        <f aca="false">(_xlfn.XLOOKUP(L59,'DGI TABLE'!$A$2:$A$91,'DGI TABLE'!$G$2:$G$91)-_xlfn.XLOOKUP(L59+F59,'DGI TABLE'!$A$2:$A$91,'DGI TABLE'!$G$2:$G$91))/_xlfn.XLOOKUP(L59,'DGI TABLE'!$A$2:$A$91,'DGI TABLE'!$C$2:$C$91)</f>
        <v>0.0217793149659157</v>
      </c>
      <c r="N59" s="37" t="n">
        <f aca="false">(_xlfn.XLOOKUP(L59,'DGI TABLE'!$A$2:$A$91,'DGI TABLE'!$D$2:$D$91)-_xlfn.XLOOKUP(L59+H59,'DGI TABLE'!$A$2:$A$91,'DGI TABLE'!$D$2:$D$91))/_xlfn.XLOOKUP(L59,'DGI TABLE'!$A$2:$A$91,'DGI TABLE'!$C$2:$C$91)</f>
        <v>8.36831495024067</v>
      </c>
      <c r="O59" s="37" t="n">
        <f aca="false">M59/N59</f>
        <v>0.00260259264803236</v>
      </c>
      <c r="P59" s="37" t="n">
        <f aca="false">(_xlfn.XLOOKUP(L59+1,'DGI TABLE'!$A$2:$A$91,'DGI TABLE'!$G$2:$G$91)-_xlfn.XLOOKUP(L59+F59,'DGI TABLE'!$A$2:$A$91,'DGI TABLE'!$G$2:$G$91)+_xlfn.XLOOKUP(L59+F59,'DGI TABLE'!$A$2:$A$91,'DGI TABLE'!$C$2:$C$91))/_xlfn.XLOOKUP(L59+1,'DGI TABLE'!$A$2:$A$91,'DGI TABLE'!$C$2:$C$91)</f>
        <v>0.582132951799805</v>
      </c>
      <c r="Q59" s="37" t="n">
        <f aca="false">(_xlfn.XLOOKUP(L59+1,'DGI TABLE'!$A$2:$A$91,'DGI TABLE'!$D$2:$D$91)-_xlfn.XLOOKUP(L59+H59,'DGI TABLE'!$A$2:$A$91,'DGI TABLE'!$D$2:$D$91))/_xlfn.XLOOKUP(L59+1,'DGI TABLE'!$A$2:$A$91,'DGI TABLE'!$C$2:$C$91)</f>
        <v>7.6787121470187</v>
      </c>
      <c r="R59" s="37" t="n">
        <f aca="false">_xlfn.XLOOKUP(L59,'DGI TABLE'!$A$2:$A$91,'DGI TABLE'!$F$2:$F$91)/_xlfn.XLOOKUP(L59,'DGI TABLE'!$A$2:$A$91,'DGI TABLE'!$C$2:$C$91)</f>
        <v>0.0019615398219732</v>
      </c>
      <c r="S59" s="37" t="n">
        <f aca="false">P59/Q59</f>
        <v>0.0758112741634443</v>
      </c>
      <c r="T59" s="37" t="n">
        <f aca="false">O59+0.03/N59</f>
        <v>0.00618754376165377</v>
      </c>
      <c r="U59" s="37" t="n">
        <f aca="false">MIN(S59,T59)</f>
        <v>0.00618754376165377</v>
      </c>
      <c r="V59" s="37" t="n">
        <f aca="false">(_xlfn.XLOOKUP(L59+K59,'DGI TABLE'!$A$2:$A$91,'DGI TABLE'!$G$2:$G$91)-_xlfn.XLOOKUP(L59+F59,'DGI TABLE'!$A$2:$A$91,'DGI TABLE'!$G$2:$G$91)+_xlfn.XLOOKUP(L59+F59,'DGI TABLE'!$A$2:$A$91,'DGI TABLE'!$C$2:$C$91))/_xlfn.XLOOKUP(L59+K59,'DGI TABLE'!$A$2:$A$91,'DGI TABLE'!$C$2:$C$91)</f>
        <v>0.582132951799805</v>
      </c>
      <c r="W59" s="37" t="n">
        <f aca="false">(_xlfn.XLOOKUP(L59+K59,'DGI TABLE'!$A$2:$A$91,'DGI TABLE'!$D$2:$D$91)-_xlfn.XLOOKUP(L59+H59,'DGI TABLE'!$A$2:$A$91,'DGI TABLE'!$D$2:$D$91))/_xlfn.XLOOKUP(L59+K59,'DGI TABLE'!$A$2:$A$91,'DGI TABLE'!$C$2:$C$91)</f>
        <v>7.6787121470187</v>
      </c>
      <c r="X59" s="37" t="n">
        <f aca="false">G59*((((1+J59)^(K59-1))*V59)-(U59*W59))</f>
        <v>96231.7051842571</v>
      </c>
      <c r="Y59" s="36"/>
    </row>
    <row r="60" customFormat="false" ht="14.25" hidden="false" customHeight="false" outlineLevel="0" collapsed="false">
      <c r="A60" s="37" t="n">
        <v>59</v>
      </c>
      <c r="B60" s="37" t="s">
        <v>112</v>
      </c>
      <c r="C60" s="37" t="s">
        <v>215</v>
      </c>
      <c r="D60" s="37" t="n">
        <v>21</v>
      </c>
      <c r="E60" s="37" t="s">
        <v>43</v>
      </c>
      <c r="F60" s="37" t="n">
        <v>10</v>
      </c>
      <c r="G60" s="37" t="n">
        <v>100000</v>
      </c>
      <c r="H60" s="37" t="n">
        <v>5</v>
      </c>
      <c r="I60" s="37" t="s">
        <v>218</v>
      </c>
      <c r="J60" s="37" t="n">
        <v>0.05</v>
      </c>
      <c r="K60" s="37" t="n">
        <v>2</v>
      </c>
      <c r="L60" s="37" t="n">
        <f aca="false">IF(C60="F",D60-3,D60)</f>
        <v>18</v>
      </c>
      <c r="M60" s="37" t="n">
        <f aca="false">(_xlfn.XLOOKUP(L60,'DGI TABLE'!$A$2:$A$91,'DGI TABLE'!$G$2:$G$91)-_xlfn.XLOOKUP(L60+F60,'DGI TABLE'!$A$2:$A$91,'DGI TABLE'!$G$2:$G$91))/_xlfn.XLOOKUP(L60,'DGI TABLE'!$A$2:$A$91,'DGI TABLE'!$C$2:$C$91)</f>
        <v>0.01582674157167</v>
      </c>
      <c r="N60" s="37" t="n">
        <f aca="false">(_xlfn.XLOOKUP(L60,'DGI TABLE'!$A$2:$A$91,'DGI TABLE'!$D$2:$D$91)-_xlfn.XLOOKUP(L60+H60,'DGI TABLE'!$A$2:$A$91,'DGI TABLE'!$D$2:$D$91))/_xlfn.XLOOKUP(L60,'DGI TABLE'!$A$2:$A$91,'DGI TABLE'!$C$2:$C$91)</f>
        <v>4.61422772441896</v>
      </c>
      <c r="O60" s="37" t="n">
        <f aca="false">M60/N60</f>
        <v>0.00342998710009765</v>
      </c>
      <c r="P60" s="37" t="n">
        <f aca="false">(_xlfn.XLOOKUP(L60+1,'DGI TABLE'!$A$2:$A$91,'DGI TABLE'!$G$2:$G$91)-_xlfn.XLOOKUP(L60+F60,'DGI TABLE'!$A$2:$A$91,'DGI TABLE'!$G$2:$G$91)+_xlfn.XLOOKUP(L60+F60,'DGI TABLE'!$A$2:$A$91,'DGI TABLE'!$C$2:$C$91))/_xlfn.XLOOKUP(L60+1,'DGI TABLE'!$A$2:$A$91,'DGI TABLE'!$C$2:$C$91)</f>
        <v>0.704791148363005</v>
      </c>
      <c r="Q60" s="37" t="n">
        <f aca="false">(_xlfn.XLOOKUP(L60+1,'DGI TABLE'!$A$2:$A$91,'DGI TABLE'!$D$2:$D$91)-_xlfn.XLOOKUP(L60+H60,'DGI TABLE'!$A$2:$A$91,'DGI TABLE'!$D$2:$D$91))/_xlfn.XLOOKUP(L60+1,'DGI TABLE'!$A$2:$A$91,'DGI TABLE'!$C$2:$C$91)</f>
        <v>3.76493368076658</v>
      </c>
      <c r="R60" s="37" t="n">
        <f aca="false">_xlfn.XLOOKUP(L60,'DGI TABLE'!$A$2:$A$91,'DGI TABLE'!$F$2:$F$91)/_xlfn.XLOOKUP(L60,'DGI TABLE'!$A$2:$A$91,'DGI TABLE'!$C$2:$C$91)</f>
        <v>0.00156730830106819</v>
      </c>
      <c r="S60" s="37" t="n">
        <f aca="false">P60/Q60</f>
        <v>0.18719882157911</v>
      </c>
      <c r="T60" s="37" t="n">
        <f aca="false">O60+0.03/N60</f>
        <v>0.0099316167967069</v>
      </c>
      <c r="U60" s="37" t="n">
        <f aca="false">MIN(S60,T60)</f>
        <v>0.0099316167967069</v>
      </c>
      <c r="V60" s="37" t="n">
        <f aca="false">(_xlfn.XLOOKUP(L60+K60,'DGI TABLE'!$A$2:$A$91,'DGI TABLE'!$G$2:$G$91)-_xlfn.XLOOKUP(L60+F60,'DGI TABLE'!$A$2:$A$91,'DGI TABLE'!$G$2:$G$91)+_xlfn.XLOOKUP(L60+F60,'DGI TABLE'!$A$2:$A$91,'DGI TABLE'!$C$2:$C$91))/_xlfn.XLOOKUP(L60+K60,'DGI TABLE'!$A$2:$A$91,'DGI TABLE'!$C$2:$C$91)</f>
        <v>0.732512012903241</v>
      </c>
      <c r="W60" s="37" t="n">
        <f aca="false">(_xlfn.XLOOKUP(L60+K60,'DGI TABLE'!$A$2:$A$91,'DGI TABLE'!$D$2:$D$91)-_xlfn.XLOOKUP(L60+H60,'DGI TABLE'!$A$2:$A$91,'DGI TABLE'!$D$2:$D$91))/_xlfn.XLOOKUP(L60+K60,'DGI TABLE'!$A$2:$A$91,'DGI TABLE'!$C$2:$C$91)</f>
        <v>2.88060090015448</v>
      </c>
      <c r="X60" s="37" t="n">
        <f aca="false">G60*((((1+J60)^(K60-1))*V60)-(U60*W60))</f>
        <v>74052.858926382</v>
      </c>
      <c r="Y60" s="36"/>
    </row>
    <row r="61" customFormat="false" ht="14.25" hidden="false" customHeight="false" outlineLevel="0" collapsed="false">
      <c r="A61" s="37" t="n">
        <v>60</v>
      </c>
      <c r="B61" s="37" t="s">
        <v>116</v>
      </c>
      <c r="C61" s="37" t="s">
        <v>215</v>
      </c>
      <c r="D61" s="37" t="n">
        <v>54</v>
      </c>
      <c r="E61" s="37" t="s">
        <v>43</v>
      </c>
      <c r="F61" s="37" t="n">
        <v>10</v>
      </c>
      <c r="G61" s="37" t="n">
        <v>75000</v>
      </c>
      <c r="H61" s="37" t="n">
        <v>5</v>
      </c>
      <c r="I61" s="37" t="s">
        <v>218</v>
      </c>
      <c r="J61" s="37" t="n">
        <v>0.05</v>
      </c>
      <c r="K61" s="37" t="n">
        <v>2</v>
      </c>
      <c r="L61" s="37" t="n">
        <f aca="false">IF(C61="F",D61-3,D61)</f>
        <v>51</v>
      </c>
      <c r="M61" s="37" t="n">
        <f aca="false">(_xlfn.XLOOKUP(L61,'DGI TABLE'!$A$2:$A$91,'DGI TABLE'!$G$2:$G$91)-_xlfn.XLOOKUP(L61+F61,'DGI TABLE'!$A$2:$A$91,'DGI TABLE'!$G$2:$G$91))/_xlfn.XLOOKUP(L61,'DGI TABLE'!$A$2:$A$91,'DGI TABLE'!$C$2:$C$91)</f>
        <v>0.0819604628255801</v>
      </c>
      <c r="N61" s="37" t="n">
        <f aca="false">(_xlfn.XLOOKUP(L61,'DGI TABLE'!$A$2:$A$91,'DGI TABLE'!$D$2:$D$91)-_xlfn.XLOOKUP(L61+H61,'DGI TABLE'!$A$2:$A$91,'DGI TABLE'!$D$2:$D$91))/_xlfn.XLOOKUP(L61,'DGI TABLE'!$A$2:$A$91,'DGI TABLE'!$C$2:$C$91)</f>
        <v>4.56002605559446</v>
      </c>
      <c r="O61" s="37" t="n">
        <f aca="false">M61/N61</f>
        <v>0.0179736830067072</v>
      </c>
      <c r="P61" s="37" t="n">
        <f aca="false">(_xlfn.XLOOKUP(L61+1,'DGI TABLE'!$A$2:$A$91,'DGI TABLE'!$G$2:$G$91)-_xlfn.XLOOKUP(L61+F61,'DGI TABLE'!$A$2:$A$91,'DGI TABLE'!$G$2:$G$91)+_xlfn.XLOOKUP(L61+F61,'DGI TABLE'!$A$2:$A$91,'DGI TABLE'!$C$2:$C$91))/_xlfn.XLOOKUP(L61+1,'DGI TABLE'!$A$2:$A$91,'DGI TABLE'!$C$2:$C$91)</f>
        <v>0.713168618724598</v>
      </c>
      <c r="Q61" s="37" t="n">
        <f aca="false">(_xlfn.XLOOKUP(L61+1,'DGI TABLE'!$A$2:$A$91,'DGI TABLE'!$D$2:$D$91)-_xlfn.XLOOKUP(L61+H61,'DGI TABLE'!$A$2:$A$91,'DGI TABLE'!$D$2:$D$91))/_xlfn.XLOOKUP(L61+1,'DGI TABLE'!$A$2:$A$91,'DGI TABLE'!$C$2:$C$91)</f>
        <v>3.72931520635685</v>
      </c>
      <c r="R61" s="37" t="n">
        <f aca="false">_xlfn.XLOOKUP(L61,'DGI TABLE'!$A$2:$A$91,'DGI TABLE'!$F$2:$F$91)/_xlfn.XLOOKUP(L61,'DGI TABLE'!$A$2:$A$91,'DGI TABLE'!$C$2:$C$91)</f>
        <v>0.00693269611256174</v>
      </c>
      <c r="S61" s="37" t="n">
        <f aca="false">P61/Q61</f>
        <v>0.191233129746973</v>
      </c>
      <c r="T61" s="37" t="n">
        <f aca="false">O61+0.03/N61</f>
        <v>0.024552592783592</v>
      </c>
      <c r="U61" s="37" t="n">
        <f aca="false">MIN(S61,T61)</f>
        <v>0.024552592783592</v>
      </c>
      <c r="V61" s="37" t="n">
        <f aca="false">(_xlfn.XLOOKUP(L61+K61,'DGI TABLE'!$A$2:$A$91,'DGI TABLE'!$G$2:$G$91)-_xlfn.XLOOKUP(L61+F61,'DGI TABLE'!$A$2:$A$91,'DGI TABLE'!$G$2:$G$91)+_xlfn.XLOOKUP(L61+F61,'DGI TABLE'!$A$2:$A$91,'DGI TABLE'!$C$2:$C$91))/_xlfn.XLOOKUP(L61+K61,'DGI TABLE'!$A$2:$A$91,'DGI TABLE'!$C$2:$C$91)</f>
        <v>0.739638536060144</v>
      </c>
      <c r="W61" s="37" t="n">
        <f aca="false">(_xlfn.XLOOKUP(L61+K61,'DGI TABLE'!$A$2:$A$91,'DGI TABLE'!$D$2:$D$91)-_xlfn.XLOOKUP(L61+H61,'DGI TABLE'!$A$2:$A$91,'DGI TABLE'!$D$2:$D$91))/_xlfn.XLOOKUP(L61+K61,'DGI TABLE'!$A$2:$A$91,'DGI TABLE'!$C$2:$C$91)</f>
        <v>2.86109061081747</v>
      </c>
      <c r="X61" s="37" t="n">
        <f aca="false">G61*((((1+J61)^(K61-1))*V61)-(U61*W61))</f>
        <v>52977.9952634094</v>
      </c>
      <c r="Y61" s="36"/>
    </row>
    <row r="62" customFormat="false" ht="14.25" hidden="false" customHeight="false" outlineLevel="0" collapsed="false">
      <c r="A62" s="37" t="n">
        <v>61</v>
      </c>
      <c r="B62" s="37" t="s">
        <v>117</v>
      </c>
      <c r="C62" s="37" t="s">
        <v>217</v>
      </c>
      <c r="D62" s="37" t="n">
        <v>40</v>
      </c>
      <c r="E62" s="37" t="s">
        <v>43</v>
      </c>
      <c r="F62" s="37" t="n">
        <v>10</v>
      </c>
      <c r="G62" s="37" t="n">
        <v>75000</v>
      </c>
      <c r="H62" s="37" t="n">
        <v>5</v>
      </c>
      <c r="I62" s="37" t="s">
        <v>218</v>
      </c>
      <c r="J62" s="37" t="n">
        <v>0.05</v>
      </c>
      <c r="K62" s="37" t="n">
        <v>3</v>
      </c>
      <c r="L62" s="37" t="n">
        <f aca="false">IF(C62="F",D62-3,D62)</f>
        <v>40</v>
      </c>
      <c r="M62" s="37" t="n">
        <f aca="false">(_xlfn.XLOOKUP(L62,'DGI TABLE'!$A$2:$A$91,'DGI TABLE'!$G$2:$G$91)-_xlfn.XLOOKUP(L62+F62,'DGI TABLE'!$A$2:$A$91,'DGI TABLE'!$G$2:$G$91))/_xlfn.XLOOKUP(L62,'DGI TABLE'!$A$2:$A$91,'DGI TABLE'!$C$2:$C$91)</f>
        <v>0.0321800510010934</v>
      </c>
      <c r="N62" s="37" t="n">
        <f aca="false">(_xlfn.XLOOKUP(L62,'DGI TABLE'!$A$2:$A$91,'DGI TABLE'!$D$2:$D$91)-_xlfn.XLOOKUP(L62+H62,'DGI TABLE'!$A$2:$A$91,'DGI TABLE'!$D$2:$D$91))/_xlfn.XLOOKUP(L62,'DGI TABLE'!$A$2:$A$91,'DGI TABLE'!$C$2:$C$91)</f>
        <v>4.60373666481445</v>
      </c>
      <c r="O62" s="37" t="n">
        <f aca="false">M62/N62</f>
        <v>0.00698998516727509</v>
      </c>
      <c r="P62" s="37" t="n">
        <f aca="false">(_xlfn.XLOOKUP(L62+1,'DGI TABLE'!$A$2:$A$91,'DGI TABLE'!$G$2:$G$91)-_xlfn.XLOOKUP(L62+F62,'DGI TABLE'!$A$2:$A$91,'DGI TABLE'!$G$2:$G$91)+_xlfn.XLOOKUP(L62+F62,'DGI TABLE'!$A$2:$A$91,'DGI TABLE'!$C$2:$C$91))/_xlfn.XLOOKUP(L62+1,'DGI TABLE'!$A$2:$A$91,'DGI TABLE'!$C$2:$C$91)</f>
        <v>0.70659935877139</v>
      </c>
      <c r="Q62" s="37" t="n">
        <f aca="false">(_xlfn.XLOOKUP(L62+1,'DGI TABLE'!$A$2:$A$91,'DGI TABLE'!$D$2:$D$91)-_xlfn.XLOOKUP(L62+H62,'DGI TABLE'!$A$2:$A$91,'DGI TABLE'!$D$2:$D$91))/_xlfn.XLOOKUP(L62+1,'DGI TABLE'!$A$2:$A$91,'DGI TABLE'!$C$2:$C$91)</f>
        <v>3.75810801766619</v>
      </c>
      <c r="R62" s="37" t="n">
        <f aca="false">_xlfn.XLOOKUP(L62,'DGI TABLE'!$A$2:$A$91,'DGI TABLE'!$F$2:$F$91)/_xlfn.XLOOKUP(L62,'DGI TABLE'!$A$2:$A$91,'DGI TABLE'!$C$2:$C$91)</f>
        <v>0.00261538509968691</v>
      </c>
      <c r="S62" s="37" t="n">
        <f aca="false">P62/Q62</f>
        <v>0.188019970540972</v>
      </c>
      <c r="T62" s="37" t="n">
        <f aca="false">O62+0.03/N62</f>
        <v>0.0135064308687169</v>
      </c>
      <c r="U62" s="37" t="n">
        <f aca="false">MIN(S62,T62)</f>
        <v>0.0135064308687169</v>
      </c>
      <c r="V62" s="37" t="n">
        <f aca="false">(_xlfn.XLOOKUP(L62+K62,'DGI TABLE'!$A$2:$A$91,'DGI TABLE'!$G$2:$G$91)-_xlfn.XLOOKUP(L62+F62,'DGI TABLE'!$A$2:$A$91,'DGI TABLE'!$G$2:$G$91)+_xlfn.XLOOKUP(L62+F62,'DGI TABLE'!$A$2:$A$91,'DGI TABLE'!$C$2:$C$91))/_xlfn.XLOOKUP(L62+K62,'DGI TABLE'!$A$2:$A$91,'DGI TABLE'!$C$2:$C$91)</f>
        <v>0.762690581734866</v>
      </c>
      <c r="W62" s="37" t="n">
        <f aca="false">(_xlfn.XLOOKUP(L62+K62,'DGI TABLE'!$A$2:$A$91,'DGI TABLE'!$D$2:$D$91)-_xlfn.XLOOKUP(L62+H62,'DGI TABLE'!$A$2:$A$91,'DGI TABLE'!$D$2:$D$91))/_xlfn.XLOOKUP(L62+K62,'DGI TABLE'!$A$2:$A$91,'DGI TABLE'!$C$2:$C$91)</f>
        <v>1.95818272325532</v>
      </c>
      <c r="X62" s="37" t="n">
        <f aca="false">G62*((((1+J62)^(K62-1))*V62)-(U62*W62))</f>
        <v>61081.3730087044</v>
      </c>
      <c r="Y62" s="36"/>
    </row>
    <row r="63" customFormat="false" ht="14.25" hidden="false" customHeight="false" outlineLevel="0" collapsed="false">
      <c r="A63" s="37" t="n">
        <v>62</v>
      </c>
      <c r="B63" s="37" t="s">
        <v>123</v>
      </c>
      <c r="C63" s="37" t="s">
        <v>217</v>
      </c>
      <c r="D63" s="37" t="n">
        <v>36</v>
      </c>
      <c r="E63" s="37" t="s">
        <v>43</v>
      </c>
      <c r="F63" s="37" t="n">
        <v>10</v>
      </c>
      <c r="G63" s="37" t="n">
        <v>50000</v>
      </c>
      <c r="H63" s="37" t="n">
        <v>5</v>
      </c>
      <c r="I63" s="37" t="s">
        <v>218</v>
      </c>
      <c r="J63" s="37" t="n">
        <v>0.05</v>
      </c>
      <c r="K63" s="37" t="n">
        <v>3</v>
      </c>
      <c r="L63" s="37" t="n">
        <f aca="false">IF(C63="F",D63-3,D63)</f>
        <v>36</v>
      </c>
      <c r="M63" s="37" t="n">
        <f aca="false">(_xlfn.XLOOKUP(L63,'DGI TABLE'!$A$2:$A$91,'DGI TABLE'!$G$2:$G$91)-_xlfn.XLOOKUP(L63+F63,'DGI TABLE'!$A$2:$A$91,'DGI TABLE'!$G$2:$G$91))/_xlfn.XLOOKUP(L63,'DGI TABLE'!$A$2:$A$91,'DGI TABLE'!$C$2:$C$91)</f>
        <v>0.0232019016804644</v>
      </c>
      <c r="N63" s="37" t="n">
        <f aca="false">(_xlfn.XLOOKUP(L63,'DGI TABLE'!$A$2:$A$91,'DGI TABLE'!$D$2:$D$91)-_xlfn.XLOOKUP(L63+H63,'DGI TABLE'!$A$2:$A$91,'DGI TABLE'!$D$2:$D$91))/_xlfn.XLOOKUP(L63,'DGI TABLE'!$A$2:$A$91,'DGI TABLE'!$C$2:$C$91)</f>
        <v>4.60980369528119</v>
      </c>
      <c r="O63" s="37" t="n">
        <f aca="false">M63/N63</f>
        <v>0.00503316479706391</v>
      </c>
      <c r="P63" s="37" t="n">
        <f aca="false">(_xlfn.XLOOKUP(L63+1,'DGI TABLE'!$A$2:$A$91,'DGI TABLE'!$G$2:$G$91)-_xlfn.XLOOKUP(L63+F63,'DGI TABLE'!$A$2:$A$91,'DGI TABLE'!$G$2:$G$91)+_xlfn.XLOOKUP(L63+F63,'DGI TABLE'!$A$2:$A$91,'DGI TABLE'!$C$2:$C$91))/_xlfn.XLOOKUP(L63+1,'DGI TABLE'!$A$2:$A$91,'DGI TABLE'!$C$2:$C$91)</f>
        <v>0.705508535416709</v>
      </c>
      <c r="Q63" s="37" t="n">
        <f aca="false">(_xlfn.XLOOKUP(L63+1,'DGI TABLE'!$A$2:$A$91,'DGI TABLE'!$D$2:$D$91)-_xlfn.XLOOKUP(L63+H63,'DGI TABLE'!$A$2:$A$91,'DGI TABLE'!$D$2:$D$91))/_xlfn.XLOOKUP(L63+1,'DGI TABLE'!$A$2:$A$91,'DGI TABLE'!$C$2:$C$91)</f>
        <v>3.76224712017521</v>
      </c>
      <c r="R63" s="37" t="n">
        <f aca="false">_xlfn.XLOOKUP(L63,'DGI TABLE'!$A$2:$A$91,'DGI TABLE'!$F$2:$F$91)/_xlfn.XLOOKUP(L63,'DGI TABLE'!$A$2:$A$91,'DGI TABLE'!$C$2:$C$91)</f>
        <v>0.00205769435175035</v>
      </c>
      <c r="S63" s="37" t="n">
        <f aca="false">P63/Q63</f>
        <v>0.187523177739546</v>
      </c>
      <c r="T63" s="37" t="n">
        <f aca="false">O63+0.03/N63</f>
        <v>0.0115410341084425</v>
      </c>
      <c r="U63" s="37" t="n">
        <f aca="false">MIN(S63,T63)</f>
        <v>0.0115410341084425</v>
      </c>
      <c r="V63" s="37" t="n">
        <f aca="false">(_xlfn.XLOOKUP(L63+K63,'DGI TABLE'!$A$2:$A$91,'DGI TABLE'!$G$2:$G$91)-_xlfn.XLOOKUP(L63+F63,'DGI TABLE'!$A$2:$A$91,'DGI TABLE'!$G$2:$G$91)+_xlfn.XLOOKUP(L63+F63,'DGI TABLE'!$A$2:$A$91,'DGI TABLE'!$C$2:$C$91))/_xlfn.XLOOKUP(L63+K63,'DGI TABLE'!$A$2:$A$91,'DGI TABLE'!$C$2:$C$91)</f>
        <v>0.761881690756482</v>
      </c>
      <c r="W63" s="37" t="n">
        <f aca="false">(_xlfn.XLOOKUP(L63+K63,'DGI TABLE'!$A$2:$A$91,'DGI TABLE'!$D$2:$D$91)-_xlfn.XLOOKUP(L63+H63,'DGI TABLE'!$A$2:$A$91,'DGI TABLE'!$D$2:$D$91))/_xlfn.XLOOKUP(L63+K63,'DGI TABLE'!$A$2:$A$91,'DGI TABLE'!$C$2:$C$91)</f>
        <v>1.95909620508829</v>
      </c>
      <c r="X63" s="37" t="n">
        <f aca="false">G63*((((1+J63)^(K63-1))*V63)-(U63*W63))</f>
        <v>40868.2283967189</v>
      </c>
      <c r="Y63" s="36"/>
    </row>
    <row r="64" customFormat="false" ht="14.25" hidden="false" customHeight="false" outlineLevel="0" collapsed="false">
      <c r="A64" s="37" t="n">
        <v>63</v>
      </c>
      <c r="B64" s="37" t="s">
        <v>136</v>
      </c>
      <c r="C64" s="37" t="s">
        <v>215</v>
      </c>
      <c r="D64" s="37" t="n">
        <v>45</v>
      </c>
      <c r="E64" s="37" t="s">
        <v>43</v>
      </c>
      <c r="F64" s="37" t="n">
        <v>5</v>
      </c>
      <c r="G64" s="37" t="n">
        <v>60000</v>
      </c>
      <c r="H64" s="37" t="n">
        <v>3</v>
      </c>
      <c r="I64" s="37" t="s">
        <v>218</v>
      </c>
      <c r="J64" s="37" t="n">
        <v>0.05</v>
      </c>
      <c r="K64" s="37" t="n">
        <v>1</v>
      </c>
      <c r="L64" s="37" t="n">
        <f aca="false">IF(C64="F",D64-3,D64)</f>
        <v>42</v>
      </c>
      <c r="M64" s="37" t="n">
        <f aca="false">(_xlfn.XLOOKUP(L64,'DGI TABLE'!$A$2:$A$91,'DGI TABLE'!$G$2:$G$91)-_xlfn.XLOOKUP(L64+F64,'DGI TABLE'!$A$2:$A$91,'DGI TABLE'!$G$2:$G$91))/_xlfn.XLOOKUP(L64,'DGI TABLE'!$A$2:$A$91,'DGI TABLE'!$C$2:$C$91)</f>
        <v>0.0169355707665491</v>
      </c>
      <c r="N64" s="37" t="n">
        <f aca="false">(_xlfn.XLOOKUP(L64,'DGI TABLE'!$A$2:$A$91,'DGI TABLE'!$D$2:$D$91)-_xlfn.XLOOKUP(L64+H64,'DGI TABLE'!$A$2:$A$91,'DGI TABLE'!$D$2:$D$91))/_xlfn.XLOOKUP(L64,'DGI TABLE'!$A$2:$A$91,'DGI TABLE'!$C$2:$C$91)</f>
        <v>2.87686164429946</v>
      </c>
      <c r="O64" s="37" t="n">
        <f aca="false">M64/N64</f>
        <v>0.00588682142573912</v>
      </c>
      <c r="P64" s="37" t="n">
        <f aca="false">(_xlfn.XLOOKUP(L64+1,'DGI TABLE'!$A$2:$A$91,'DGI TABLE'!$G$2:$G$91)-_xlfn.XLOOKUP(L64+F64,'DGI TABLE'!$A$2:$A$91,'DGI TABLE'!$G$2:$G$91)+_xlfn.XLOOKUP(L64+F64,'DGI TABLE'!$A$2:$A$91,'DGI TABLE'!$C$2:$C$91))/_xlfn.XLOOKUP(L64+1,'DGI TABLE'!$A$2:$A$91,'DGI TABLE'!$C$2:$C$91)</f>
        <v>0.855585154977965</v>
      </c>
      <c r="Q64" s="37" t="n">
        <f aca="false">(_xlfn.XLOOKUP(L64+1,'DGI TABLE'!$A$2:$A$91,'DGI TABLE'!$D$2:$D$91)-_xlfn.XLOOKUP(L64+H64,'DGI TABLE'!$A$2:$A$91,'DGI TABLE'!$D$2:$D$91))/_xlfn.XLOOKUP(L64+1,'DGI TABLE'!$A$2:$A$91,'DGI TABLE'!$C$2:$C$91)</f>
        <v>1.95818272325532</v>
      </c>
      <c r="R64" s="37" t="n">
        <f aca="false">_xlfn.XLOOKUP(L64,'DGI TABLE'!$A$2:$A$91,'DGI TABLE'!$F$2:$F$91)/_xlfn.XLOOKUP(L64,'DGI TABLE'!$A$2:$A$91,'DGI TABLE'!$C$2:$C$91)</f>
        <v>0.00306730552618788</v>
      </c>
      <c r="S64" s="37" t="n">
        <f aca="false">P64/Q64</f>
        <v>0.436928150175702</v>
      </c>
      <c r="T64" s="37" t="n">
        <f aca="false">O64+0.03/N64</f>
        <v>0.0163148515882064</v>
      </c>
      <c r="U64" s="37" t="n">
        <f aca="false">MIN(S64,T64)</f>
        <v>0.0163148515882064</v>
      </c>
      <c r="V64" s="37" t="n">
        <f aca="false">(_xlfn.XLOOKUP(L64+K64,'DGI TABLE'!$A$2:$A$91,'DGI TABLE'!$G$2:$G$91)-_xlfn.XLOOKUP(L64+F64,'DGI TABLE'!$A$2:$A$91,'DGI TABLE'!$G$2:$G$91)+_xlfn.XLOOKUP(L64+F64,'DGI TABLE'!$A$2:$A$91,'DGI TABLE'!$C$2:$C$91))/_xlfn.XLOOKUP(L64+K64,'DGI TABLE'!$A$2:$A$91,'DGI TABLE'!$C$2:$C$91)</f>
        <v>0.855585154977965</v>
      </c>
      <c r="W64" s="37" t="n">
        <f aca="false">(_xlfn.XLOOKUP(L64+K64,'DGI TABLE'!$A$2:$A$91,'DGI TABLE'!$D$2:$D$91)-_xlfn.XLOOKUP(L64+H64,'DGI TABLE'!$A$2:$A$91,'DGI TABLE'!$D$2:$D$91))/_xlfn.XLOOKUP(L64+K64,'DGI TABLE'!$A$2:$A$91,'DGI TABLE'!$C$2:$C$91)</f>
        <v>1.95818272325532</v>
      </c>
      <c r="X64" s="37" t="n">
        <f aca="false">G64*((((1+J64)^(K64-1))*V64)-(U64*W64))</f>
        <v>49418.2616679279</v>
      </c>
      <c r="Y64" s="36"/>
    </row>
    <row r="65" customFormat="false" ht="14.25" hidden="false" customHeight="false" outlineLevel="0" collapsed="false">
      <c r="A65" s="37" t="n">
        <v>64</v>
      </c>
      <c r="B65" s="37" t="s">
        <v>141</v>
      </c>
      <c r="C65" s="37" t="s">
        <v>217</v>
      </c>
      <c r="D65" s="37" t="n">
        <v>18</v>
      </c>
      <c r="E65" s="37" t="s">
        <v>43</v>
      </c>
      <c r="F65" s="37" t="n">
        <v>10</v>
      </c>
      <c r="G65" s="37" t="n">
        <v>50000</v>
      </c>
      <c r="H65" s="37" t="n">
        <v>5</v>
      </c>
      <c r="I65" s="37" t="s">
        <v>218</v>
      </c>
      <c r="J65" s="37" t="n">
        <v>0.05</v>
      </c>
      <c r="K65" s="37" t="n">
        <v>2</v>
      </c>
      <c r="L65" s="37" t="n">
        <f aca="false">IF(C65="F",D65-3,D65)</f>
        <v>18</v>
      </c>
      <c r="M65" s="37" t="n">
        <f aca="false">(_xlfn.XLOOKUP(L65,'DGI TABLE'!$A$2:$A$91,'DGI TABLE'!$G$2:$G$91)-_xlfn.XLOOKUP(L65+F65,'DGI TABLE'!$A$2:$A$91,'DGI TABLE'!$G$2:$G$91))/_xlfn.XLOOKUP(L65,'DGI TABLE'!$A$2:$A$91,'DGI TABLE'!$C$2:$C$91)</f>
        <v>0.01582674157167</v>
      </c>
      <c r="N65" s="37" t="n">
        <f aca="false">(_xlfn.XLOOKUP(L65,'DGI TABLE'!$A$2:$A$91,'DGI TABLE'!$D$2:$D$91)-_xlfn.XLOOKUP(L65+H65,'DGI TABLE'!$A$2:$A$91,'DGI TABLE'!$D$2:$D$91))/_xlfn.XLOOKUP(L65,'DGI TABLE'!$A$2:$A$91,'DGI TABLE'!$C$2:$C$91)</f>
        <v>4.61422772441896</v>
      </c>
      <c r="O65" s="37" t="n">
        <f aca="false">M65/N65</f>
        <v>0.00342998710009765</v>
      </c>
      <c r="P65" s="37" t="n">
        <f aca="false">(_xlfn.XLOOKUP(L65+1,'DGI TABLE'!$A$2:$A$91,'DGI TABLE'!$G$2:$G$91)-_xlfn.XLOOKUP(L65+F65,'DGI TABLE'!$A$2:$A$91,'DGI TABLE'!$G$2:$G$91)+_xlfn.XLOOKUP(L65+F65,'DGI TABLE'!$A$2:$A$91,'DGI TABLE'!$C$2:$C$91))/_xlfn.XLOOKUP(L65+1,'DGI TABLE'!$A$2:$A$91,'DGI TABLE'!$C$2:$C$91)</f>
        <v>0.704791148363005</v>
      </c>
      <c r="Q65" s="37" t="n">
        <f aca="false">(_xlfn.XLOOKUP(L65+1,'DGI TABLE'!$A$2:$A$91,'DGI TABLE'!$D$2:$D$91)-_xlfn.XLOOKUP(L65+H65,'DGI TABLE'!$A$2:$A$91,'DGI TABLE'!$D$2:$D$91))/_xlfn.XLOOKUP(L65+1,'DGI TABLE'!$A$2:$A$91,'DGI TABLE'!$C$2:$C$91)</f>
        <v>3.76493368076658</v>
      </c>
      <c r="R65" s="37" t="n">
        <f aca="false">_xlfn.XLOOKUP(L65,'DGI TABLE'!$A$2:$A$91,'DGI TABLE'!$F$2:$F$91)/_xlfn.XLOOKUP(L65,'DGI TABLE'!$A$2:$A$91,'DGI TABLE'!$C$2:$C$91)</f>
        <v>0.00156730830106819</v>
      </c>
      <c r="S65" s="37" t="n">
        <f aca="false">P65/Q65</f>
        <v>0.18719882157911</v>
      </c>
      <c r="T65" s="37" t="n">
        <f aca="false">O65+0.03/N65</f>
        <v>0.0099316167967069</v>
      </c>
      <c r="U65" s="37" t="n">
        <f aca="false">MIN(S65,T65)</f>
        <v>0.0099316167967069</v>
      </c>
      <c r="V65" s="37" t="n">
        <f aca="false">(_xlfn.XLOOKUP(L65+K65,'DGI TABLE'!$A$2:$A$91,'DGI TABLE'!$G$2:$G$91)-_xlfn.XLOOKUP(L65+F65,'DGI TABLE'!$A$2:$A$91,'DGI TABLE'!$G$2:$G$91)+_xlfn.XLOOKUP(L65+F65,'DGI TABLE'!$A$2:$A$91,'DGI TABLE'!$C$2:$C$91))/_xlfn.XLOOKUP(L65+K65,'DGI TABLE'!$A$2:$A$91,'DGI TABLE'!$C$2:$C$91)</f>
        <v>0.732512012903241</v>
      </c>
      <c r="W65" s="37" t="n">
        <f aca="false">(_xlfn.XLOOKUP(L65+K65,'DGI TABLE'!$A$2:$A$91,'DGI TABLE'!$D$2:$D$91)-_xlfn.XLOOKUP(L65+H65,'DGI TABLE'!$A$2:$A$91,'DGI TABLE'!$D$2:$D$91))/_xlfn.XLOOKUP(L65+K65,'DGI TABLE'!$A$2:$A$91,'DGI TABLE'!$C$2:$C$91)</f>
        <v>2.88060090015448</v>
      </c>
      <c r="X65" s="37" t="n">
        <f aca="false">G65*((((1+J65)^(K65-1))*V65)-(U65*W65))</f>
        <v>37026.429463191</v>
      </c>
      <c r="Y65" s="36"/>
    </row>
    <row r="66" customFormat="false" ht="14.25" hidden="false" customHeight="false" outlineLevel="0" collapsed="false">
      <c r="A66" s="37" t="n">
        <v>65</v>
      </c>
      <c r="B66" s="37" t="s">
        <v>185</v>
      </c>
      <c r="C66" s="37" t="s">
        <v>217</v>
      </c>
      <c r="D66" s="37" t="n">
        <v>47</v>
      </c>
      <c r="E66" s="37" t="s">
        <v>43</v>
      </c>
      <c r="F66" s="37" t="n">
        <v>5</v>
      </c>
      <c r="G66" s="37" t="n">
        <v>50000</v>
      </c>
      <c r="H66" s="37" t="n">
        <v>3</v>
      </c>
      <c r="I66" s="37" t="s">
        <v>218</v>
      </c>
      <c r="J66" s="37" t="n">
        <v>0.05</v>
      </c>
      <c r="K66" s="37" t="n">
        <v>1</v>
      </c>
      <c r="L66" s="37" t="n">
        <f aca="false">IF(C66="F",D66-3,D66)</f>
        <v>47</v>
      </c>
      <c r="M66" s="37" t="n">
        <f aca="false">(_xlfn.XLOOKUP(L66,'DGI TABLE'!$A$2:$A$91,'DGI TABLE'!$G$2:$G$91)-_xlfn.XLOOKUP(L66+F66,'DGI TABLE'!$A$2:$A$91,'DGI TABLE'!$G$2:$G$91))/_xlfn.XLOOKUP(L66,'DGI TABLE'!$A$2:$A$91,'DGI TABLE'!$C$2:$C$91)</f>
        <v>0.0265760540811972</v>
      </c>
      <c r="N66" s="37" t="n">
        <f aca="false">(_xlfn.XLOOKUP(L66,'DGI TABLE'!$A$2:$A$91,'DGI TABLE'!$D$2:$D$91)-_xlfn.XLOOKUP(L66+H66,'DGI TABLE'!$A$2:$A$91,'DGI TABLE'!$D$2:$D$91))/_xlfn.XLOOKUP(L66,'DGI TABLE'!$A$2:$A$91,'DGI TABLE'!$C$2:$C$91)</f>
        <v>2.87149207627981</v>
      </c>
      <c r="O66" s="37" t="n">
        <f aca="false">M66/N66</f>
        <v>0.00925513752962469</v>
      </c>
      <c r="P66" s="37" t="n">
        <f aca="false">(_xlfn.XLOOKUP(L66+1,'DGI TABLE'!$A$2:$A$91,'DGI TABLE'!$G$2:$G$91)-_xlfn.XLOOKUP(L66+F66,'DGI TABLE'!$A$2:$A$91,'DGI TABLE'!$G$2:$G$91)+_xlfn.XLOOKUP(L66+F66,'DGI TABLE'!$A$2:$A$91,'DGI TABLE'!$C$2:$C$91))/_xlfn.XLOOKUP(L66+1,'DGI TABLE'!$A$2:$A$91,'DGI TABLE'!$C$2:$C$91)</f>
        <v>0.856034717952618</v>
      </c>
      <c r="Q66" s="37" t="n">
        <f aca="false">(_xlfn.XLOOKUP(L66+1,'DGI TABLE'!$A$2:$A$91,'DGI TABLE'!$D$2:$D$91)-_xlfn.XLOOKUP(L66+H66,'DGI TABLE'!$A$2:$A$91,'DGI TABLE'!$D$2:$D$91))/_xlfn.XLOOKUP(L66+1,'DGI TABLE'!$A$2:$A$91,'DGI TABLE'!$C$2:$C$91)</f>
        <v>1.956230700851</v>
      </c>
      <c r="R66" s="37" t="n">
        <f aca="false">_xlfn.XLOOKUP(L66,'DGI TABLE'!$A$2:$A$91,'DGI TABLE'!$F$2:$F$91)/_xlfn.XLOOKUP(L66,'DGI TABLE'!$A$2:$A$91,'DGI TABLE'!$C$2:$C$91)</f>
        <v>0.00485577137157463</v>
      </c>
      <c r="S66" s="37" t="n">
        <f aca="false">P66/Q66</f>
        <v>0.437593949210707</v>
      </c>
      <c r="T66" s="37" t="n">
        <f aca="false">O66+0.03/N66</f>
        <v>0.0197026676648521</v>
      </c>
      <c r="U66" s="37" t="n">
        <f aca="false">MIN(S66,T66)</f>
        <v>0.0197026676648521</v>
      </c>
      <c r="V66" s="37" t="n">
        <f aca="false">(_xlfn.XLOOKUP(L66+K66,'DGI TABLE'!$A$2:$A$91,'DGI TABLE'!$G$2:$G$91)-_xlfn.XLOOKUP(L66+F66,'DGI TABLE'!$A$2:$A$91,'DGI TABLE'!$G$2:$G$91)+_xlfn.XLOOKUP(L66+F66,'DGI TABLE'!$A$2:$A$91,'DGI TABLE'!$C$2:$C$91))/_xlfn.XLOOKUP(L66+K66,'DGI TABLE'!$A$2:$A$91,'DGI TABLE'!$C$2:$C$91)</f>
        <v>0.856034717952618</v>
      </c>
      <c r="W66" s="37" t="n">
        <f aca="false">(_xlfn.XLOOKUP(L66+K66,'DGI TABLE'!$A$2:$A$91,'DGI TABLE'!$D$2:$D$91)-_xlfn.XLOOKUP(L66+H66,'DGI TABLE'!$A$2:$A$91,'DGI TABLE'!$D$2:$D$91))/_xlfn.XLOOKUP(L66+K66,'DGI TABLE'!$A$2:$A$91,'DGI TABLE'!$C$2:$C$91)</f>
        <v>1.956230700851</v>
      </c>
      <c r="X66" s="37" t="n">
        <f aca="false">G66*((((1+J66)^(K66-1))*V66)-(U66*W66))</f>
        <v>40874.5877288985</v>
      </c>
      <c r="Y66" s="36"/>
    </row>
    <row r="67" customFormat="false" ht="14.25" hidden="false" customHeight="false" outlineLevel="0" collapsed="false">
      <c r="A67" s="37" t="n">
        <v>66</v>
      </c>
      <c r="B67" s="37" t="s">
        <v>120</v>
      </c>
      <c r="C67" s="37" t="s">
        <v>215</v>
      </c>
      <c r="D67" s="37" t="n">
        <v>22</v>
      </c>
      <c r="E67" s="37" t="s">
        <v>42</v>
      </c>
      <c r="F67" s="37" t="n">
        <v>5</v>
      </c>
      <c r="G67" s="37" t="n">
        <v>100000</v>
      </c>
      <c r="H67" s="37" t="n">
        <v>4</v>
      </c>
      <c r="I67" s="37" t="s">
        <v>219</v>
      </c>
      <c r="J67" s="37" t="n">
        <v>0.05</v>
      </c>
      <c r="K67" s="37" t="n">
        <v>4</v>
      </c>
      <c r="L67" s="37" t="n">
        <f aca="false">IF(C67="F",D67-3,D67)</f>
        <v>19</v>
      </c>
      <c r="M67" s="37" t="n">
        <f aca="false">(_xlfn.XLOOKUP(L67,'DGI TABLE'!$A$2:$A$91,'DGI TABLE'!$G$2:$G$91)-_xlfn.XLOOKUP(L67+F67,'DGI TABLE'!$A$2:$A$91,'DGI TABLE'!$G$2:$G$91))/_xlfn.XLOOKUP(L67,'DGI TABLE'!$A$2:$A$91,'DGI TABLE'!$C$2:$C$91)</f>
        <v>0.0089183333968354</v>
      </c>
      <c r="N67" s="37" t="n">
        <f aca="false">(_xlfn.XLOOKUP(L67,'DGI TABLE'!$A$2:$A$91,'DGI TABLE'!$D$2:$D$91)-_xlfn.XLOOKUP(L67+H67,'DGI TABLE'!$A$2:$A$91,'DGI TABLE'!$D$2:$D$91))/_xlfn.XLOOKUP(L67,'DGI TABLE'!$A$2:$A$91,'DGI TABLE'!$C$2:$C$91)</f>
        <v>3.76493368076658</v>
      </c>
      <c r="O67" s="37" t="n">
        <f aca="false">M67/N67</f>
        <v>0.00236878897559214</v>
      </c>
      <c r="P67" s="37" t="n">
        <f aca="false">(_xlfn.XLOOKUP(L67+1,'DGI TABLE'!$A$2:$A$91,'DGI TABLE'!$G$2:$G$91)-_xlfn.XLOOKUP(L67+F67,'DGI TABLE'!$A$2:$A$91,'DGI TABLE'!$G$2:$G$91)+_xlfn.XLOOKUP(L67+F67,'DGI TABLE'!$A$2:$A$91,'DGI TABLE'!$C$2:$C$91))/_xlfn.XLOOKUP(L67+1,'DGI TABLE'!$A$2:$A$91,'DGI TABLE'!$C$2:$C$91)</f>
        <v>0.855225667423812</v>
      </c>
      <c r="Q67" s="37" t="n">
        <f aca="false">(_xlfn.XLOOKUP(L67+1,'DGI TABLE'!$A$2:$A$91,'DGI TABLE'!$D$2:$D$91)-_xlfn.XLOOKUP(L67+H67,'DGI TABLE'!$A$2:$A$91,'DGI TABLE'!$D$2:$D$91))/_xlfn.XLOOKUP(L67+1,'DGI TABLE'!$A$2:$A$91,'DGI TABLE'!$C$2:$C$91)</f>
        <v>2.88060090015448</v>
      </c>
      <c r="R67" s="37" t="n">
        <f aca="false">_xlfn.XLOOKUP(L67,'DGI TABLE'!$A$2:$A$91,'DGI TABLE'!$F$2:$F$91)/_xlfn.XLOOKUP(L67,'DGI TABLE'!$A$2:$A$91,'DGI TABLE'!$C$2:$C$91)</f>
        <v>0.00169230826402352</v>
      </c>
      <c r="S67" s="37" t="n">
        <f aca="false">P67/Q67</f>
        <v>0.296891411572477</v>
      </c>
      <c r="T67" s="37" t="n">
        <f aca="false">O67+0.03/N67</f>
        <v>0.0103370568240424</v>
      </c>
      <c r="U67" s="37" t="n">
        <f aca="false">MIN(S67,T67)</f>
        <v>0.0103370568240424</v>
      </c>
      <c r="V67" s="37" t="n">
        <f aca="false">(_xlfn.XLOOKUP(L67+K67,'DGI TABLE'!$A$2:$A$91,'DGI TABLE'!$G$2:$G$91)-_xlfn.XLOOKUP(L67+F67,'DGI TABLE'!$A$2:$A$91,'DGI TABLE'!$G$2:$G$91)+_xlfn.XLOOKUP(L67+F67,'DGI TABLE'!$A$2:$A$91,'DGI TABLE'!$C$2:$C$91))/_xlfn.XLOOKUP(L67+K67,'DGI TABLE'!$A$2:$A$91,'DGI TABLE'!$C$2:$C$91)</f>
        <v>0.961538448752856</v>
      </c>
      <c r="W67" s="37" t="n">
        <f aca="false">(_xlfn.XLOOKUP(L67+K67,'DGI TABLE'!$A$2:$A$91,'DGI TABLE'!$D$2:$D$91)-_xlfn.XLOOKUP(L67+H67,'DGI TABLE'!$A$2:$A$91,'DGI TABLE'!$D$2:$D$91))/_xlfn.XLOOKUP(L67+K67,'DGI TABLE'!$A$2:$A$91,'DGI TABLE'!$C$2:$C$91)</f>
        <v>0</v>
      </c>
      <c r="X67" s="37" t="n">
        <f aca="false">G67*(((1+J67*(K67-1))*V67)-(U67*W67))</f>
        <v>110576.921606578</v>
      </c>
      <c r="Y67" s="36"/>
    </row>
    <row r="68" customFormat="false" ht="14.25" hidden="false" customHeight="false" outlineLevel="0" collapsed="false">
      <c r="A68" s="37" t="n">
        <v>67</v>
      </c>
      <c r="B68" s="37" t="s">
        <v>135</v>
      </c>
      <c r="C68" s="37" t="s">
        <v>217</v>
      </c>
      <c r="D68" s="37" t="n">
        <v>52</v>
      </c>
      <c r="E68" s="37" t="s">
        <v>42</v>
      </c>
      <c r="F68" s="37" t="n">
        <v>15</v>
      </c>
      <c r="G68" s="37" t="n">
        <v>120000</v>
      </c>
      <c r="H68" s="37" t="n">
        <v>10</v>
      </c>
      <c r="I68" s="37" t="s">
        <v>219</v>
      </c>
      <c r="J68" s="37" t="n">
        <v>0.05</v>
      </c>
      <c r="K68" s="37" t="n">
        <v>9</v>
      </c>
      <c r="L68" s="37" t="n">
        <f aca="false">IF(C68="F",D68-3,D68)</f>
        <v>52</v>
      </c>
      <c r="M68" s="37" t="n">
        <f aca="false">(_xlfn.XLOOKUP(L68,'DGI TABLE'!$A$2:$A$91,'DGI TABLE'!$G$2:$G$91)-_xlfn.XLOOKUP(L68+F68,'DGI TABLE'!$A$2:$A$91,'DGI TABLE'!$G$2:$G$91))/_xlfn.XLOOKUP(L68,'DGI TABLE'!$A$2:$A$91,'DGI TABLE'!$C$2:$C$91)</f>
        <v>0.141972235870674</v>
      </c>
      <c r="N68" s="37" t="n">
        <f aca="false">(_xlfn.XLOOKUP(L68,'DGI TABLE'!$A$2:$A$91,'DGI TABLE'!$D$2:$D$91)-_xlfn.XLOOKUP(L68+H68,'DGI TABLE'!$A$2:$A$91,'DGI TABLE'!$D$2:$D$91))/_xlfn.XLOOKUP(L68,'DGI TABLE'!$A$2:$A$91,'DGI TABLE'!$C$2:$C$91)</f>
        <v>8.09218754054793</v>
      </c>
      <c r="O68" s="37" t="n">
        <f aca="false">M68/N68</f>
        <v>0.0175443580810858</v>
      </c>
      <c r="P68" s="37" t="n">
        <f aca="false">(_xlfn.XLOOKUP(L68+1,'DGI TABLE'!$A$2:$A$91,'DGI TABLE'!$G$2:$G$91)-_xlfn.XLOOKUP(L68+F68,'DGI TABLE'!$A$2:$A$91,'DGI TABLE'!$G$2:$G$91)+_xlfn.XLOOKUP(L68+F68,'DGI TABLE'!$A$2:$A$91,'DGI TABLE'!$C$2:$C$91))/_xlfn.XLOOKUP(L68+1,'DGI TABLE'!$A$2:$A$91,'DGI TABLE'!$C$2:$C$91)</f>
        <v>0.606004557776013</v>
      </c>
      <c r="Q68" s="37" t="n">
        <f aca="false">(_xlfn.XLOOKUP(L68+1,'DGI TABLE'!$A$2:$A$91,'DGI TABLE'!$D$2:$D$91)-_xlfn.XLOOKUP(L68+H68,'DGI TABLE'!$A$2:$A$91,'DGI TABLE'!$D$2:$D$91))/_xlfn.XLOOKUP(L68+1,'DGI TABLE'!$A$2:$A$91,'DGI TABLE'!$C$2:$C$91)</f>
        <v>7.4346087773805</v>
      </c>
      <c r="R68" s="37" t="n">
        <f aca="false">_xlfn.XLOOKUP(L68,'DGI TABLE'!$A$2:$A$91,'DGI TABLE'!$F$2:$F$91)/_xlfn.XLOOKUP(L68,'DGI TABLE'!$A$2:$A$91,'DGI TABLE'!$C$2:$C$91)</f>
        <v>0.00759614940096045</v>
      </c>
      <c r="S68" s="37" t="n">
        <f aca="false">P68/Q68</f>
        <v>0.081511290764856</v>
      </c>
      <c r="T68" s="37" t="n">
        <f aca="false">O68+0.03/N68</f>
        <v>0.0212516374600766</v>
      </c>
      <c r="U68" s="37" t="n">
        <f aca="false">MIN(S68,T68)</f>
        <v>0.0212516374600766</v>
      </c>
      <c r="V68" s="37" t="n">
        <f aca="false">(_xlfn.XLOOKUP(L68+K68,'DGI TABLE'!$A$2:$A$91,'DGI TABLE'!$G$2:$G$91)-_xlfn.XLOOKUP(L68+F68,'DGI TABLE'!$A$2:$A$91,'DGI TABLE'!$G$2:$G$91)+_xlfn.XLOOKUP(L68+F68,'DGI TABLE'!$A$2:$A$91,'DGI TABLE'!$C$2:$C$91))/_xlfn.XLOOKUP(L68+K68,'DGI TABLE'!$A$2:$A$91,'DGI TABLE'!$C$2:$C$91)</f>
        <v>0.799110445481406</v>
      </c>
      <c r="W68" s="37" t="n">
        <f aca="false">(_xlfn.XLOOKUP(L68+K68,'DGI TABLE'!$A$2:$A$91,'DGI TABLE'!$D$2:$D$91)-_xlfn.XLOOKUP(L68+H68,'DGI TABLE'!$A$2:$A$91,'DGI TABLE'!$D$2:$D$91))/_xlfn.XLOOKUP(L68+K68,'DGI TABLE'!$A$2:$A$91,'DGI TABLE'!$C$2:$C$91)</f>
        <v>1</v>
      </c>
      <c r="X68" s="37" t="n">
        <f aca="false">G68*(((1+J68*(K68-1))*V68)-(U68*W68))</f>
        <v>131700.358345667</v>
      </c>
      <c r="Y68" s="36"/>
    </row>
    <row r="69" customFormat="false" ht="14.25" hidden="false" customHeight="false" outlineLevel="0" collapsed="false">
      <c r="A69" s="37" t="n">
        <v>68</v>
      </c>
      <c r="B69" s="37" t="s">
        <v>155</v>
      </c>
      <c r="C69" s="37" t="s">
        <v>217</v>
      </c>
      <c r="D69" s="37" t="n">
        <v>55</v>
      </c>
      <c r="E69" s="37" t="s">
        <v>42</v>
      </c>
      <c r="F69" s="37" t="n">
        <v>10</v>
      </c>
      <c r="G69" s="37" t="n">
        <v>125000</v>
      </c>
      <c r="H69" s="37" t="n">
        <v>5</v>
      </c>
      <c r="I69" s="37" t="s">
        <v>219</v>
      </c>
      <c r="J69" s="37" t="n">
        <v>0.05</v>
      </c>
      <c r="K69" s="37" t="n">
        <v>3</v>
      </c>
      <c r="L69" s="37" t="n">
        <f aca="false">IF(C69="F",D69-3,D69)</f>
        <v>55</v>
      </c>
      <c r="M69" s="37" t="n">
        <f aca="false">(_xlfn.XLOOKUP(L69,'DGI TABLE'!$A$2:$A$91,'DGI TABLE'!$G$2:$G$91)-_xlfn.XLOOKUP(L69+F69,'DGI TABLE'!$A$2:$A$91,'DGI TABLE'!$G$2:$G$91))/_xlfn.XLOOKUP(L69,'DGI TABLE'!$A$2:$A$91,'DGI TABLE'!$C$2:$C$91)</f>
        <v>0.110479909838374</v>
      </c>
      <c r="N69" s="37" t="n">
        <f aca="false">(_xlfn.XLOOKUP(L69,'DGI TABLE'!$A$2:$A$91,'DGI TABLE'!$D$2:$D$91)-_xlfn.XLOOKUP(L69+H69,'DGI TABLE'!$A$2:$A$91,'DGI TABLE'!$D$2:$D$91))/_xlfn.XLOOKUP(L69,'DGI TABLE'!$A$2:$A$91,'DGI TABLE'!$C$2:$C$91)</f>
        <v>4.53141949891004</v>
      </c>
      <c r="O69" s="37" t="n">
        <f aca="false">M69/N69</f>
        <v>0.0243808611992222</v>
      </c>
      <c r="P69" s="37" t="n">
        <f aca="false">(_xlfn.XLOOKUP(L69+1,'DGI TABLE'!$A$2:$A$91,'DGI TABLE'!$G$2:$G$91)-_xlfn.XLOOKUP(L69+F69,'DGI TABLE'!$A$2:$A$91,'DGI TABLE'!$G$2:$G$91)+_xlfn.XLOOKUP(L69+F69,'DGI TABLE'!$A$2:$A$91,'DGI TABLE'!$C$2:$C$91))/_xlfn.XLOOKUP(L69+1,'DGI TABLE'!$A$2:$A$91,'DGI TABLE'!$C$2:$C$91)</f>
        <v>0.716927934985946</v>
      </c>
      <c r="Q69" s="37" t="n">
        <f aca="false">(_xlfn.XLOOKUP(L69+1,'DGI TABLE'!$A$2:$A$91,'DGI TABLE'!$D$2:$D$91)-_xlfn.XLOOKUP(L69+H69,'DGI TABLE'!$A$2:$A$91,'DGI TABLE'!$D$2:$D$91))/_xlfn.XLOOKUP(L69+1,'DGI TABLE'!$A$2:$A$91,'DGI TABLE'!$C$2:$C$91)</f>
        <v>3.71101092958277</v>
      </c>
      <c r="R69" s="37" t="n">
        <f aca="false">_xlfn.XLOOKUP(L69,'DGI TABLE'!$A$2:$A$91,'DGI TABLE'!$F$2:$F$91)/_xlfn.XLOOKUP(L69,'DGI TABLE'!$A$2:$A$91,'DGI TABLE'!$C$2:$C$91)</f>
        <v>0.00993269131837168</v>
      </c>
      <c r="S69" s="37" t="n">
        <f aca="false">P69/Q69</f>
        <v>0.193189389249939</v>
      </c>
      <c r="T69" s="37" t="n">
        <f aca="false">O69+0.03/N69</f>
        <v>0.0310013032057978</v>
      </c>
      <c r="U69" s="37" t="n">
        <f aca="false">MIN(S69,T69)</f>
        <v>0.0310013032057978</v>
      </c>
      <c r="V69" s="37" t="n">
        <f aca="false">(_xlfn.XLOOKUP(L69+K69,'DGI TABLE'!$A$2:$A$91,'DGI TABLE'!$G$2:$G$91)-_xlfn.XLOOKUP(L69+F69,'DGI TABLE'!$A$2:$A$91,'DGI TABLE'!$G$2:$G$91)+_xlfn.XLOOKUP(L69+F69,'DGI TABLE'!$A$2:$A$91,'DGI TABLE'!$C$2:$C$91))/_xlfn.XLOOKUP(L69+K69,'DGI TABLE'!$A$2:$A$91,'DGI TABLE'!$C$2:$C$91)</f>
        <v>0.769639725394012</v>
      </c>
      <c r="W69" s="37" t="n">
        <f aca="false">(_xlfn.XLOOKUP(L69+K69,'DGI TABLE'!$A$2:$A$91,'DGI TABLE'!$D$2:$D$91)-_xlfn.XLOOKUP(L69+H69,'DGI TABLE'!$A$2:$A$91,'DGI TABLE'!$D$2:$D$91))/_xlfn.XLOOKUP(L69+K69,'DGI TABLE'!$A$2:$A$91,'DGI TABLE'!$C$2:$C$91)</f>
        <v>1.94908648426176</v>
      </c>
      <c r="X69" s="37" t="n">
        <f aca="false">G69*(((1+J69*(K69-1))*V69)-(U69*W69))</f>
        <v>98272.4346075614</v>
      </c>
      <c r="Y69" s="36"/>
    </row>
    <row r="70" customFormat="false" ht="14.25" hidden="false" customHeight="false" outlineLevel="0" collapsed="false">
      <c r="A70" s="37" t="n">
        <v>69</v>
      </c>
      <c r="B70" s="37" t="s">
        <v>171</v>
      </c>
      <c r="C70" s="37" t="s">
        <v>217</v>
      </c>
      <c r="D70" s="37" t="n">
        <v>60</v>
      </c>
      <c r="E70" s="37" t="s">
        <v>42</v>
      </c>
      <c r="F70" s="37" t="n">
        <v>10</v>
      </c>
      <c r="G70" s="37" t="n">
        <v>60000</v>
      </c>
      <c r="H70" s="37" t="n">
        <v>5</v>
      </c>
      <c r="I70" s="37" t="s">
        <v>219</v>
      </c>
      <c r="J70" s="37" t="n">
        <v>0.05</v>
      </c>
      <c r="K70" s="37" t="n">
        <v>4</v>
      </c>
      <c r="L70" s="37" t="n">
        <f aca="false">IF(C70="F",D70-3,D70)</f>
        <v>60</v>
      </c>
      <c r="M70" s="37" t="n">
        <f aca="false">(_xlfn.XLOOKUP(L70,'DGI TABLE'!$A$2:$A$91,'DGI TABLE'!$G$2:$G$91)-_xlfn.XLOOKUP(L70+F70,'DGI TABLE'!$A$2:$A$91,'DGI TABLE'!$G$2:$G$91))/_xlfn.XLOOKUP(L70,'DGI TABLE'!$A$2:$A$91,'DGI TABLE'!$C$2:$C$91)</f>
        <v>0.162703025549711</v>
      </c>
      <c r="N70" s="37" t="n">
        <f aca="false">(_xlfn.XLOOKUP(L70,'DGI TABLE'!$A$2:$A$91,'DGI TABLE'!$D$2:$D$91)-_xlfn.XLOOKUP(L70+H70,'DGI TABLE'!$A$2:$A$91,'DGI TABLE'!$D$2:$D$91))/_xlfn.XLOOKUP(L70,'DGI TABLE'!$A$2:$A$91,'DGI TABLE'!$C$2:$C$91)</f>
        <v>4.48929672199724</v>
      </c>
      <c r="O70" s="37" t="n">
        <f aca="false">M70/N70</f>
        <v>0.0362424307469981</v>
      </c>
      <c r="P70" s="37" t="n">
        <f aca="false">(_xlfn.XLOOKUP(L70+1,'DGI TABLE'!$A$2:$A$91,'DGI TABLE'!$G$2:$G$91)-_xlfn.XLOOKUP(L70+F70,'DGI TABLE'!$A$2:$A$91,'DGI TABLE'!$G$2:$G$91)+_xlfn.XLOOKUP(L70+F70,'DGI TABLE'!$A$2:$A$91,'DGI TABLE'!$C$2:$C$91))/_xlfn.XLOOKUP(L70+1,'DGI TABLE'!$A$2:$A$91,'DGI TABLE'!$C$2:$C$91)</f>
        <v>0.723620047611181</v>
      </c>
      <c r="Q70" s="37" t="n">
        <f aca="false">(_xlfn.XLOOKUP(L70+1,'DGI TABLE'!$A$2:$A$91,'DGI TABLE'!$D$2:$D$91)-_xlfn.XLOOKUP(L70+H70,'DGI TABLE'!$A$2:$A$91,'DGI TABLE'!$D$2:$D$91))/_xlfn.XLOOKUP(L70+1,'DGI TABLE'!$A$2:$A$91,'DGI TABLE'!$C$2:$C$91)</f>
        <v>3.68334556563328</v>
      </c>
      <c r="R70" s="37" t="n">
        <f aca="false">_xlfn.XLOOKUP(L70,'DGI TABLE'!$A$2:$A$91,'DGI TABLE'!$F$2:$F$91)/_xlfn.XLOOKUP(L70,'DGI TABLE'!$A$2:$A$91,'DGI TABLE'!$C$2:$C$91)</f>
        <v>0.0142211496388498</v>
      </c>
      <c r="S70" s="37" t="n">
        <f aca="false">P70/Q70</f>
        <v>0.196457279046194</v>
      </c>
      <c r="T70" s="37" t="n">
        <f aca="false">O70+0.03/N70</f>
        <v>0.0429249919270159</v>
      </c>
      <c r="U70" s="37" t="n">
        <f aca="false">MIN(S70,T70)</f>
        <v>0.0429249919270159</v>
      </c>
      <c r="V70" s="37" t="n">
        <f aca="false">(_xlfn.XLOOKUP(L70+K70,'DGI TABLE'!$A$2:$A$91,'DGI TABLE'!$G$2:$G$91)-_xlfn.XLOOKUP(L70+F70,'DGI TABLE'!$A$2:$A$91,'DGI TABLE'!$G$2:$G$91)+_xlfn.XLOOKUP(L70+F70,'DGI TABLE'!$A$2:$A$91,'DGI TABLE'!$C$2:$C$91))/_xlfn.XLOOKUP(L70+K70,'DGI TABLE'!$A$2:$A$91,'DGI TABLE'!$C$2:$C$91)</f>
        <v>0.801776837280067</v>
      </c>
      <c r="W70" s="37" t="n">
        <f aca="false">(_xlfn.XLOOKUP(L70+K70,'DGI TABLE'!$A$2:$A$91,'DGI TABLE'!$D$2:$D$91)-_xlfn.XLOOKUP(L70+H70,'DGI TABLE'!$A$2:$A$91,'DGI TABLE'!$D$2:$D$91))/_xlfn.XLOOKUP(L70+K70,'DGI TABLE'!$A$2:$A$91,'DGI TABLE'!$C$2:$C$91)</f>
        <v>1</v>
      </c>
      <c r="X70" s="37" t="n">
        <f aca="false">G70*(((1+J70*(K70-1))*V70)-(U70*W70))</f>
        <v>52747.1022567037</v>
      </c>
      <c r="Y70" s="36"/>
    </row>
    <row r="71" customFormat="false" ht="14.25" hidden="false" customHeight="false" outlineLevel="0" collapsed="false">
      <c r="A71" s="37" t="n">
        <v>70</v>
      </c>
      <c r="B71" s="37" t="s">
        <v>172</v>
      </c>
      <c r="C71" s="37" t="s">
        <v>215</v>
      </c>
      <c r="D71" s="37" t="n">
        <v>41</v>
      </c>
      <c r="E71" s="37" t="s">
        <v>42</v>
      </c>
      <c r="F71" s="37" t="n">
        <v>25</v>
      </c>
      <c r="G71" s="37" t="n">
        <v>75000</v>
      </c>
      <c r="H71" s="37" t="n">
        <v>15</v>
      </c>
      <c r="I71" s="37" t="s">
        <v>219</v>
      </c>
      <c r="J71" s="37" t="n">
        <v>0.05</v>
      </c>
      <c r="K71" s="37" t="n">
        <v>4</v>
      </c>
      <c r="L71" s="37" t="n">
        <f aca="false">IF(C71="F",D71-3,D71)</f>
        <v>38</v>
      </c>
      <c r="M71" s="37" t="n">
        <f aca="false">(_xlfn.XLOOKUP(L71,'DGI TABLE'!$A$2:$A$91,'DGI TABLE'!$G$2:$G$91)-_xlfn.XLOOKUP(L71+F71,'DGI TABLE'!$A$2:$A$91,'DGI TABLE'!$G$2:$G$91))/_xlfn.XLOOKUP(L71,'DGI TABLE'!$A$2:$A$91,'DGI TABLE'!$C$2:$C$91)</f>
        <v>0.095464154947578</v>
      </c>
      <c r="N71" s="37" t="n">
        <f aca="false">(_xlfn.XLOOKUP(L71,'DGI TABLE'!$A$2:$A$91,'DGI TABLE'!$D$2:$D$91)-_xlfn.XLOOKUP(L71+H71,'DGI TABLE'!$A$2:$A$91,'DGI TABLE'!$D$2:$D$91))/_xlfn.XLOOKUP(L71,'DGI TABLE'!$A$2:$A$91,'DGI TABLE'!$C$2:$C$91)</f>
        <v>11.3183686998688</v>
      </c>
      <c r="O71" s="37" t="n">
        <f aca="false">M71/N71</f>
        <v>0.00843444470479964</v>
      </c>
      <c r="P71" s="37" t="n">
        <f aca="false">(_xlfn.XLOOKUP(L71+1,'DGI TABLE'!$A$2:$A$91,'DGI TABLE'!$G$2:$G$91)-_xlfn.XLOOKUP(L71+F71,'DGI TABLE'!$A$2:$A$91,'DGI TABLE'!$G$2:$G$91)+_xlfn.XLOOKUP(L71+F71,'DGI TABLE'!$A$2:$A$91,'DGI TABLE'!$C$2:$C$91))/_xlfn.XLOOKUP(L71+1,'DGI TABLE'!$A$2:$A$91,'DGI TABLE'!$C$2:$C$91)</f>
        <v>0.418605091132636</v>
      </c>
      <c r="Q71" s="37" t="n">
        <f aca="false">(_xlfn.XLOOKUP(L71+1,'DGI TABLE'!$A$2:$A$91,'DGI TABLE'!$D$2:$D$91)-_xlfn.XLOOKUP(L71+H71,'DGI TABLE'!$A$2:$A$91,'DGI TABLE'!$D$2:$D$91))/_xlfn.XLOOKUP(L71+1,'DGI TABLE'!$A$2:$A$91,'DGI TABLE'!$C$2:$C$91)</f>
        <v>10.7568122184534</v>
      </c>
      <c r="R71" s="37" t="n">
        <f aca="false">_xlfn.XLOOKUP(L71,'DGI TABLE'!$A$2:$A$91,'DGI TABLE'!$F$2:$F$91)/_xlfn.XLOOKUP(L71,'DGI TABLE'!$A$2:$A$91,'DGI TABLE'!$C$2:$C$91)</f>
        <v>0.00229807741175556</v>
      </c>
      <c r="S71" s="37" t="n">
        <f aca="false">P71/Q71</f>
        <v>0.0389153480261108</v>
      </c>
      <c r="T71" s="37" t="n">
        <f aca="false">O71+0.03/N71</f>
        <v>0.0110850033493813</v>
      </c>
      <c r="U71" s="37" t="n">
        <f aca="false">MIN(S71,T71)</f>
        <v>0.0110850033493813</v>
      </c>
      <c r="V71" s="37" t="n">
        <f aca="false">(_xlfn.XLOOKUP(L71+K71,'DGI TABLE'!$A$2:$A$91,'DGI TABLE'!$G$2:$G$91)-_xlfn.XLOOKUP(L71+F71,'DGI TABLE'!$A$2:$A$91,'DGI TABLE'!$G$2:$G$91)+_xlfn.XLOOKUP(L71+F71,'DGI TABLE'!$A$2:$A$91,'DGI TABLE'!$C$2:$C$91))/_xlfn.XLOOKUP(L71+K71,'DGI TABLE'!$A$2:$A$91,'DGI TABLE'!$C$2:$C$91)</f>
        <v>0.466198070641595</v>
      </c>
      <c r="W71" s="37" t="n">
        <f aca="false">(_xlfn.XLOOKUP(L71+K71,'DGI TABLE'!$A$2:$A$91,'DGI TABLE'!$D$2:$D$91)-_xlfn.XLOOKUP(L71+H71,'DGI TABLE'!$A$2:$A$91,'DGI TABLE'!$D$2:$D$91))/_xlfn.XLOOKUP(L71+K71,'DGI TABLE'!$A$2:$A$91,'DGI TABLE'!$C$2:$C$91)</f>
        <v>8.9346728087225</v>
      </c>
      <c r="X71" s="37" t="n">
        <f aca="false">G71*(((1+J71*(K71-1))*V71)-(U71*W71))</f>
        <v>32781.5177420639</v>
      </c>
      <c r="Y71" s="36"/>
    </row>
    <row r="72" customFormat="false" ht="15" hidden="false" customHeight="true" outlineLevel="0" collapsed="false">
      <c r="A72" s="38" t="n">
        <v>71</v>
      </c>
      <c r="B72" s="38" t="s">
        <v>189</v>
      </c>
      <c r="C72" s="38" t="s">
        <v>217</v>
      </c>
      <c r="D72" s="38" t="n">
        <v>29</v>
      </c>
      <c r="E72" s="38" t="s">
        <v>42</v>
      </c>
      <c r="F72" s="38" t="n">
        <v>20</v>
      </c>
      <c r="G72" s="38" t="n">
        <v>200000</v>
      </c>
      <c r="H72" s="38" t="n">
        <v>10</v>
      </c>
      <c r="I72" s="38" t="s">
        <v>219</v>
      </c>
      <c r="J72" s="38" t="n">
        <v>0.05</v>
      </c>
      <c r="K72" s="38" t="n">
        <v>4</v>
      </c>
      <c r="L72" s="38" t="n">
        <f aca="false">IF(C72="F",D72-3,D72)</f>
        <v>29</v>
      </c>
      <c r="M72" s="38" t="n">
        <f aca="false">(_xlfn.XLOOKUP(L72,'DGI TABLE'!$A$2:$A$91,'DGI TABLE'!$G$2:$G$91)-_xlfn.XLOOKUP(L72+F72,'DGI TABLE'!$A$2:$A$91,'DGI TABLE'!$G$2:$G$91))/_xlfn.XLOOKUP(L72,'DGI TABLE'!$A$2:$A$91,'DGI TABLE'!$C$2:$C$91)</f>
        <v>0.0352790907856761</v>
      </c>
      <c r="N72" s="38" t="n">
        <f aca="false">(_xlfn.XLOOKUP(L72,'DGI TABLE'!$A$2:$A$91,'DGI TABLE'!$D$2:$D$91)-_xlfn.XLOOKUP(L72+H72,'DGI TABLE'!$A$2:$A$91,'DGI TABLE'!$D$2:$D$91))/_xlfn.XLOOKUP(L72,'DGI TABLE'!$A$2:$A$91,'DGI TABLE'!$C$2:$C$91)</f>
        <v>8.37054308356185</v>
      </c>
      <c r="O72" s="38" t="n">
        <f aca="false">M72/N72</f>
        <v>0.00421467166867075</v>
      </c>
      <c r="P72" s="38" t="n">
        <f aca="false">(_xlfn.XLOOKUP(L72+1,'DGI TABLE'!$A$2:$A$91,'DGI TABLE'!$G$2:$G$91)-_xlfn.XLOOKUP(L72+F72,'DGI TABLE'!$A$2:$A$91,'DGI TABLE'!$G$2:$G$91)+_xlfn.XLOOKUP(L72+F72,'DGI TABLE'!$A$2:$A$91,'DGI TABLE'!$C$2:$C$91))/_xlfn.XLOOKUP(L72+1,'DGI TABLE'!$A$2:$A$91,'DGI TABLE'!$C$2:$C$91)</f>
        <v>0.483688518791902</v>
      </c>
      <c r="Q72" s="38" t="n">
        <f aca="false">(_xlfn.XLOOKUP(L72+1,'DGI TABLE'!$A$2:$A$91,'DGI TABLE'!$D$2:$D$91)-_xlfn.XLOOKUP(L72+H72,'DGI TABLE'!$A$2:$A$91,'DGI TABLE'!$D$2:$D$91))/_xlfn.XLOOKUP(L72+1,'DGI TABLE'!$A$2:$A$91,'DGI TABLE'!$C$2:$C$91)</f>
        <v>7.67934116478391</v>
      </c>
      <c r="R72" s="38" t="n">
        <f aca="false">_xlfn.XLOOKUP(L72,'DGI TABLE'!$A$2:$A$91,'DGI TABLE'!$F$2:$F$91)/_xlfn.XLOOKUP(L72,'DGI TABLE'!$A$2:$A$91,'DGI TABLE'!$C$2:$C$91)</f>
        <v>0.00175000154011953</v>
      </c>
      <c r="S72" s="38" t="n">
        <f aca="false">P72/Q72</f>
        <v>0.0629856791634694</v>
      </c>
      <c r="T72" s="38" t="n">
        <f aca="false">O72+0.03/N72</f>
        <v>0.00779866851338137</v>
      </c>
      <c r="U72" s="38" t="n">
        <f aca="false">MIN(S72,T72)</f>
        <v>0.00779866851338137</v>
      </c>
      <c r="V72" s="38" t="n">
        <f aca="false">(_xlfn.XLOOKUP(L72+K72,'DGI TABLE'!$A$2:$A$91,'DGI TABLE'!$G$2:$G$91)-_xlfn.XLOOKUP(L72+F72,'DGI TABLE'!$A$2:$A$91,'DGI TABLE'!$G$2:$G$91)+_xlfn.XLOOKUP(L72+F72,'DGI TABLE'!$A$2:$A$91,'DGI TABLE'!$C$2:$C$91))/_xlfn.XLOOKUP(L72+K72,'DGI TABLE'!$A$2:$A$91,'DGI TABLE'!$C$2:$C$91)</f>
        <v>0.541423439018667</v>
      </c>
      <c r="W72" s="38" t="n">
        <f aca="false">(_xlfn.XLOOKUP(L72+K72,'DGI TABLE'!$A$2:$A$91,'DGI TABLE'!$D$2:$D$91)-_xlfn.XLOOKUP(L72+H72,'DGI TABLE'!$A$2:$A$91,'DGI TABLE'!$D$2:$D$91))/_xlfn.XLOOKUP(L72+K72,'DGI TABLE'!$A$2:$A$91,'DGI TABLE'!$C$2:$C$91)</f>
        <v>5.42628922583459</v>
      </c>
      <c r="X72" s="38" t="n">
        <f aca="false">G72*(((1+J72*(K72-1))*V72)-(U72*W72))</f>
        <v>116063.82478829</v>
      </c>
      <c r="Y72" s="36"/>
    </row>
    <row r="73" customFormat="false" ht="14.25" hidden="false" customHeight="false" outlineLevel="0" collapsed="false">
      <c r="A73" s="39" t="n">
        <v>72</v>
      </c>
      <c r="B73" s="39" t="s">
        <v>76</v>
      </c>
      <c r="C73" s="39" t="s">
        <v>217</v>
      </c>
      <c r="D73" s="39" t="n">
        <v>60</v>
      </c>
      <c r="E73" s="39" t="s">
        <v>35</v>
      </c>
      <c r="F73" s="39" t="s">
        <v>220</v>
      </c>
      <c r="G73" s="39" t="n">
        <v>80000</v>
      </c>
      <c r="H73" s="39" t="n">
        <v>20</v>
      </c>
      <c r="I73" s="39" t="s">
        <v>216</v>
      </c>
      <c r="J73" s="39" t="n">
        <v>0</v>
      </c>
      <c r="K73" s="39" t="n">
        <v>10</v>
      </c>
      <c r="L73" s="39" t="n">
        <f aca="false">IF(C73="F",D73-3,D73)</f>
        <v>60</v>
      </c>
      <c r="M73" s="39" t="n">
        <f aca="false">_xlfn.XLOOKUP(L73,'DGI TABLE'!$A$2:$A$91,'DGI TABLE'!$G$2:$G$91)/_xlfn.XLOOKUP(L73,'DGI TABLE'!$A$2:$A$91,'DGI TABLE'!$C$2:$C$91)</f>
        <v>0.506785830149128</v>
      </c>
      <c r="N73" s="39" t="n">
        <f aca="false">(_xlfn.XLOOKUP(L73,'DGI TABLE'!$A$2:$A$91,'DGI TABLE'!$D$2:$D$91)-_xlfn.XLOOKUP(L73+H73,'DGI TABLE'!$A$2:$A$91,'DGI TABLE'!$D$2:$D$91))/_xlfn.XLOOKUP(L73,'DGI TABLE'!$A$2:$A$91,'DGI TABLE'!$C$2:$C$91)</f>
        <v>11.5618024429194</v>
      </c>
      <c r="O73" s="39" t="n">
        <f aca="false">M73/N73</f>
        <v>0.0438327702493733</v>
      </c>
      <c r="P73" s="39" t="n">
        <f aca="false">_xlfn.XLOOKUP(L73+1,'DGI TABLE'!$A$2:$A$91,'DGI TABLE'!$G$2:$G$91)/_xlfn.XLOOKUP(L73+1,'DGI TABLE'!$A$2:$A$91,'DGI TABLE'!$C$2:$C$91)</f>
        <v>0.519957480344816</v>
      </c>
      <c r="Q73" s="39" t="n">
        <f aca="false">(_xlfn.XLOOKUP(L73+1,'DGI TABLE'!$A$2:$A$91,'DGI TABLE'!$D$2:$D$91)-_xlfn.XLOOKUP(L73+H73,'DGI TABLE'!$A$2:$A$91,'DGI TABLE'!$D$2:$D$91))/_xlfn.XLOOKUP(L73+1,'DGI TABLE'!$A$2:$A$91,'DGI TABLE'!$C$2:$C$91)</f>
        <v>11.1491716792014</v>
      </c>
      <c r="R73" s="39" t="n">
        <f aca="false">_xlfn.XLOOKUP(L73,'DGI TABLE'!$A$2:$A$91,'DGI TABLE'!$F$2:$F$91)/_xlfn.XLOOKUP(L73,'DGI TABLE'!$A$2:$A$91,'DGI TABLE'!$C$2:$C$91)</f>
        <v>0.0142211496388498</v>
      </c>
      <c r="S73" s="39" t="n">
        <f aca="false">P73/Q73</f>
        <v>0.0466364224451569</v>
      </c>
      <c r="T73" s="39" t="n">
        <f aca="false">O73+0.03/N73</f>
        <v>0.0464275213833864</v>
      </c>
      <c r="U73" s="39" t="n">
        <f aca="false">MIN(S73,T73)</f>
        <v>0.0464275213833864</v>
      </c>
      <c r="V73" s="39" t="n">
        <f aca="false">_xlfn.XLOOKUP(L73+K73,'DGI TABLE'!$A$2:$A$91,'DGI TABLE'!$G$2:$G$91)/_xlfn.XLOOKUP(L73+K73,'DGI TABLE'!$A$2:$A$91,'DGI TABLE'!$C$2:$C$91)</f>
        <v>0.640731173405136</v>
      </c>
      <c r="W73" s="39" t="n">
        <f aca="false">(_xlfn.XLOOKUP(L73+K73,'DGI TABLE'!$A$2:$A$91,'DGI TABLE'!$D$2:$D$91)-_xlfn.XLOOKUP(L73+H73,'DGI TABLE'!$A$2:$A$91,'DGI TABLE'!$D$2:$D$91))/_xlfn.XLOOKUP(L73+K73,'DGI TABLE'!$A$2:$A$91,'DGI TABLE'!$C$2:$C$91)</f>
        <v>6.99140221751269</v>
      </c>
      <c r="X73" s="39" t="n">
        <f aca="false">G73*(V73-(U73*W73))</f>
        <v>25291.0157961368</v>
      </c>
      <c r="Y73" s="40" t="n">
        <f aca="false">AVERAGE(X73:X110)</f>
        <v>18773.9125339585</v>
      </c>
    </row>
    <row r="74" customFormat="false" ht="14.25" hidden="false" customHeight="false" outlineLevel="0" collapsed="false">
      <c r="A74" s="41" t="n">
        <v>73</v>
      </c>
      <c r="B74" s="41" t="s">
        <v>98</v>
      </c>
      <c r="C74" s="41" t="s">
        <v>215</v>
      </c>
      <c r="D74" s="41" t="n">
        <v>51</v>
      </c>
      <c r="E74" s="41" t="s">
        <v>35</v>
      </c>
      <c r="F74" s="41" t="s">
        <v>220</v>
      </c>
      <c r="G74" s="41" t="n">
        <v>75000</v>
      </c>
      <c r="H74" s="41" t="n">
        <v>25</v>
      </c>
      <c r="I74" s="41" t="s">
        <v>216</v>
      </c>
      <c r="J74" s="41" t="n">
        <v>0</v>
      </c>
      <c r="K74" s="41" t="n">
        <v>4</v>
      </c>
      <c r="L74" s="41" t="n">
        <f aca="false">IF(C74="F",D74-3,D74)</f>
        <v>48</v>
      </c>
      <c r="M74" s="41" t="n">
        <f aca="false">_xlfn.XLOOKUP(L74,'DGI TABLE'!$A$2:$A$91,'DGI TABLE'!$G$2:$G$91)/_xlfn.XLOOKUP(L74,'DGI TABLE'!$A$2:$A$91,'DGI TABLE'!$C$2:$C$91)</f>
        <v>0.363158251267419</v>
      </c>
      <c r="N74" s="41" t="n">
        <f aca="false">(_xlfn.XLOOKUP(L74,'DGI TABLE'!$A$2:$A$91,'DGI TABLE'!$D$2:$D$91)-_xlfn.XLOOKUP(L74+H74,'DGI TABLE'!$A$2:$A$91,'DGI TABLE'!$D$2:$D$91))/_xlfn.XLOOKUP(L74,'DGI TABLE'!$A$2:$A$91,'DGI TABLE'!$C$2:$C$91)</f>
        <v>14.5918689975807</v>
      </c>
      <c r="O74" s="41" t="n">
        <f aca="false">M74/N74</f>
        <v>0.0248877132413696</v>
      </c>
      <c r="P74" s="41" t="n">
        <f aca="false">_xlfn.XLOOKUP(L74+1,'DGI TABLE'!$A$2:$A$91,'DGI TABLE'!$G$2:$G$91)/_xlfn.XLOOKUP(L74+1,'DGI TABLE'!$A$2:$A$91,'DGI TABLE'!$C$2:$C$91)</f>
        <v>0.374230330834985</v>
      </c>
      <c r="Q74" s="41" t="n">
        <f aca="false">(_xlfn.XLOOKUP(L74+1,'DGI TABLE'!$A$2:$A$91,'DGI TABLE'!$D$2:$D$91)-_xlfn.XLOOKUP(L74+H74,'DGI TABLE'!$A$2:$A$91,'DGI TABLE'!$D$2:$D$91))/_xlfn.XLOOKUP(L74+1,'DGI TABLE'!$A$2:$A$91,'DGI TABLE'!$C$2:$C$91)</f>
        <v>14.2140050923497</v>
      </c>
      <c r="R74" s="41" t="n">
        <f aca="false">_xlfn.XLOOKUP(L74,'DGI TABLE'!$A$2:$A$91,'DGI TABLE'!$F$2:$F$91)/_xlfn.XLOOKUP(L74,'DGI TABLE'!$A$2:$A$91,'DGI TABLE'!$C$2:$C$91)</f>
        <v>0.00530769293563606</v>
      </c>
      <c r="S74" s="41" t="n">
        <f aca="false">P74/Q74</f>
        <v>0.0263282817477254</v>
      </c>
      <c r="T74" s="41" t="n">
        <f aca="false">O74+0.03/N74</f>
        <v>0.0269436527515841</v>
      </c>
      <c r="U74" s="41" t="n">
        <f aca="false">MIN(S74,T74)</f>
        <v>0.0263282817477254</v>
      </c>
      <c r="V74" s="41" t="n">
        <f aca="false">_xlfn.XLOOKUP(L74+K74,'DGI TABLE'!$A$2:$A$91,'DGI TABLE'!$G$2:$G$91)/_xlfn.XLOOKUP(L74+K74,'DGI TABLE'!$A$2:$A$91,'DGI TABLE'!$C$2:$C$91)</f>
        <v>0.408546562815844</v>
      </c>
      <c r="W74" s="41" t="n">
        <f aca="false">(_xlfn.XLOOKUP(L74+K74,'DGI TABLE'!$A$2:$A$91,'DGI TABLE'!$D$2:$D$91)-_xlfn.XLOOKUP(L74+H74,'DGI TABLE'!$A$2:$A$91,'DGI TABLE'!$D$2:$D$91))/_xlfn.XLOOKUP(L74+K74,'DGI TABLE'!$A$2:$A$91,'DGI TABLE'!$C$2:$C$91)</f>
        <v>13.0185629822035</v>
      </c>
      <c r="X74" s="41" t="n">
        <f aca="false">G74*(V74-(U74*W74))</f>
        <v>4934.26265024118</v>
      </c>
      <c r="Y74" s="40"/>
    </row>
    <row r="75" customFormat="false" ht="14.25" hidden="false" customHeight="false" outlineLevel="0" collapsed="false">
      <c r="A75" s="41" t="n">
        <v>74</v>
      </c>
      <c r="B75" s="41" t="s">
        <v>101</v>
      </c>
      <c r="C75" s="41" t="s">
        <v>215</v>
      </c>
      <c r="D75" s="41" t="n">
        <v>34</v>
      </c>
      <c r="E75" s="41" t="s">
        <v>35</v>
      </c>
      <c r="F75" s="41" t="s">
        <v>220</v>
      </c>
      <c r="G75" s="41" t="n">
        <v>180000</v>
      </c>
      <c r="H75" s="41" t="n">
        <v>20</v>
      </c>
      <c r="I75" s="41" t="s">
        <v>216</v>
      </c>
      <c r="J75" s="41" t="n">
        <v>0</v>
      </c>
      <c r="K75" s="41" t="n">
        <v>1</v>
      </c>
      <c r="L75" s="41" t="n">
        <f aca="false">IF(C75="F",D75-3,D75)</f>
        <v>31</v>
      </c>
      <c r="M75" s="41" t="n">
        <f aca="false">_xlfn.XLOOKUP(L75,'DGI TABLE'!$A$2:$A$91,'DGI TABLE'!$G$2:$G$91)/_xlfn.XLOOKUP(L75,'DGI TABLE'!$A$2:$A$91,'DGI TABLE'!$C$2:$C$91)</f>
        <v>0.209579359510845</v>
      </c>
      <c r="N75" s="41" t="n">
        <f aca="false">(_xlfn.XLOOKUP(L75,'DGI TABLE'!$A$2:$A$91,'DGI TABLE'!$D$2:$D$91)-_xlfn.XLOOKUP(L75+H75,'DGI TABLE'!$A$2:$A$91,'DGI TABLE'!$D$2:$D$91))/_xlfn.XLOOKUP(L75,'DGI TABLE'!$A$2:$A$91,'DGI TABLE'!$C$2:$C$91)</f>
        <v>13.8584846887044</v>
      </c>
      <c r="O75" s="41" t="n">
        <f aca="false">M75/N75</f>
        <v>0.0151228192849732</v>
      </c>
      <c r="P75" s="41" t="n">
        <f aca="false">_xlfn.XLOOKUP(L75+1,'DGI TABLE'!$A$2:$A$91,'DGI TABLE'!$G$2:$G$91)/_xlfn.XLOOKUP(L75+1,'DGI TABLE'!$A$2:$A$91,'DGI TABLE'!$C$2:$C$91)</f>
        <v>0.216575868304591</v>
      </c>
      <c r="Q75" s="41" t="n">
        <f aca="false">(_xlfn.XLOOKUP(L75+1,'DGI TABLE'!$A$2:$A$91,'DGI TABLE'!$D$2:$D$91)-_xlfn.XLOOKUP(L75+H75,'DGI TABLE'!$A$2:$A$91,'DGI TABLE'!$D$2:$D$91))/_xlfn.XLOOKUP(L75+1,'DGI TABLE'!$A$2:$A$91,'DGI TABLE'!$C$2:$C$91)</f>
        <v>13.3965356637069</v>
      </c>
      <c r="R75" s="41" t="n">
        <f aca="false">_xlfn.XLOOKUP(L75,'DGI TABLE'!$A$2:$A$91,'DGI TABLE'!$F$2:$F$91)/_xlfn.XLOOKUP(L75,'DGI TABLE'!$A$2:$A$91,'DGI TABLE'!$C$2:$C$91)</f>
        <v>0.00170192340010756</v>
      </c>
      <c r="S75" s="41" t="n">
        <f aca="false">P75/Q75</f>
        <v>0.0161665578132506</v>
      </c>
      <c r="T75" s="41" t="n">
        <f aca="false">O75+0.03/N75</f>
        <v>0.0172875581199811</v>
      </c>
      <c r="U75" s="41" t="n">
        <f aca="false">MIN(S75,T75)</f>
        <v>0.0161665578132506</v>
      </c>
      <c r="V75" s="41" t="n">
        <f aca="false">_xlfn.XLOOKUP(L75+K75,'DGI TABLE'!$A$2:$A$91,'DGI TABLE'!$G$2:$G$91)/_xlfn.XLOOKUP(L75+K75,'DGI TABLE'!$A$2:$A$91,'DGI TABLE'!$C$2:$C$91)</f>
        <v>0.216575868304591</v>
      </c>
      <c r="W75" s="41" t="n">
        <f aca="false">(_xlfn.XLOOKUP(L75+K75,'DGI TABLE'!$A$2:$A$91,'DGI TABLE'!$D$2:$D$91)-_xlfn.XLOOKUP(L75+H75,'DGI TABLE'!$A$2:$A$91,'DGI TABLE'!$D$2:$D$91))/_xlfn.XLOOKUP(L75+K75,'DGI TABLE'!$A$2:$A$91,'DGI TABLE'!$C$2:$C$91)</f>
        <v>13.3965356637069</v>
      </c>
      <c r="X75" s="41" t="n">
        <f aca="false">G75*(V75-(U75*W75))</f>
        <v>0</v>
      </c>
      <c r="Y75" s="40"/>
    </row>
    <row r="76" customFormat="false" ht="14.25" hidden="false" customHeight="false" outlineLevel="0" collapsed="false">
      <c r="A76" s="41" t="n">
        <v>75</v>
      </c>
      <c r="B76" s="41" t="s">
        <v>108</v>
      </c>
      <c r="C76" s="41" t="s">
        <v>215</v>
      </c>
      <c r="D76" s="41" t="n">
        <v>25</v>
      </c>
      <c r="E76" s="41" t="s">
        <v>35</v>
      </c>
      <c r="F76" s="41" t="s">
        <v>220</v>
      </c>
      <c r="G76" s="41" t="n">
        <v>175000</v>
      </c>
      <c r="H76" s="41" t="n">
        <v>20</v>
      </c>
      <c r="I76" s="41" t="s">
        <v>216</v>
      </c>
      <c r="J76" s="41" t="n">
        <v>0</v>
      </c>
      <c r="K76" s="41" t="n">
        <v>9</v>
      </c>
      <c r="L76" s="41" t="n">
        <f aca="false">IF(C76="F",D76-3,D76)</f>
        <v>22</v>
      </c>
      <c r="M76" s="41" t="n">
        <f aca="false">_xlfn.XLOOKUP(L76,'DGI TABLE'!$A$2:$A$91,'DGI TABLE'!$G$2:$G$91)/_xlfn.XLOOKUP(L76,'DGI TABLE'!$A$2:$A$91,'DGI TABLE'!$C$2:$C$91)</f>
        <v>0.159411443818562</v>
      </c>
      <c r="N76" s="41" t="n">
        <f aca="false">(_xlfn.XLOOKUP(L76,'DGI TABLE'!$A$2:$A$91,'DGI TABLE'!$D$2:$D$91)-_xlfn.XLOOKUP(L76+H76,'DGI TABLE'!$A$2:$A$91,'DGI TABLE'!$D$2:$D$91))/_xlfn.XLOOKUP(L76,'DGI TABLE'!$A$2:$A$91,'DGI TABLE'!$C$2:$C$91)</f>
        <v>13.9035962844151</v>
      </c>
      <c r="O76" s="41" t="n">
        <f aca="false">M76/N76</f>
        <v>0.0114654827828431</v>
      </c>
      <c r="P76" s="41" t="n">
        <f aca="false">_xlfn.XLOOKUP(L76+1,'DGI TABLE'!$A$2:$A$91,'DGI TABLE'!$G$2:$G$91)/_xlfn.XLOOKUP(L76+1,'DGI TABLE'!$A$2:$A$91,'DGI TABLE'!$C$2:$C$91)</f>
        <v>0.163956966982694</v>
      </c>
      <c r="Q76" s="41" t="n">
        <f aca="false">(_xlfn.XLOOKUP(L76+1,'DGI TABLE'!$A$2:$A$91,'DGI TABLE'!$D$2:$D$91)-_xlfn.XLOOKUP(L76+H76,'DGI TABLE'!$A$2:$A$91,'DGI TABLE'!$D$2:$D$91))/_xlfn.XLOOKUP(L76+1,'DGI TABLE'!$A$2:$A$91,'DGI TABLE'!$C$2:$C$91)</f>
        <v>13.4491937731116</v>
      </c>
      <c r="R76" s="41" t="n">
        <f aca="false">_xlfn.XLOOKUP(L76,'DGI TABLE'!$A$2:$A$91,'DGI TABLE'!$F$2:$F$91)/_xlfn.XLOOKUP(L76,'DGI TABLE'!$A$2:$A$91,'DGI TABLE'!$C$2:$C$91)</f>
        <v>0.00210576842621671</v>
      </c>
      <c r="S76" s="41" t="n">
        <f aca="false">P76/Q76</f>
        <v>0.0121908398189998</v>
      </c>
      <c r="T76" s="41" t="n">
        <f aca="false">O76+0.03/N76</f>
        <v>0.0136231979082188</v>
      </c>
      <c r="U76" s="41" t="n">
        <f aca="false">MIN(S76,T76)</f>
        <v>0.0121908398189998</v>
      </c>
      <c r="V76" s="41" t="n">
        <f aca="false">_xlfn.XLOOKUP(L76+K76,'DGI TABLE'!$A$2:$A$91,'DGI TABLE'!$G$2:$G$91)/_xlfn.XLOOKUP(L76+K76,'DGI TABLE'!$A$2:$A$91,'DGI TABLE'!$C$2:$C$91)</f>
        <v>0.209579359510845</v>
      </c>
      <c r="W76" s="41" t="n">
        <f aca="false">(_xlfn.XLOOKUP(L76+K76,'DGI TABLE'!$A$2:$A$91,'DGI TABLE'!$D$2:$D$91)-_xlfn.XLOOKUP(L76+H76,'DGI TABLE'!$A$2:$A$91,'DGI TABLE'!$D$2:$D$91))/_xlfn.XLOOKUP(L76+K76,'DGI TABLE'!$A$2:$A$91,'DGI TABLE'!$C$2:$C$91)</f>
        <v>9.02867650354038</v>
      </c>
      <c r="X76" s="41" t="n">
        <f aca="false">G76*(V76-(U76*W76))</f>
        <v>17414.636833758</v>
      </c>
      <c r="Y76" s="40"/>
    </row>
    <row r="77" customFormat="false" ht="14.25" hidden="false" customHeight="false" outlineLevel="0" collapsed="false">
      <c r="A77" s="41" t="n">
        <v>76</v>
      </c>
      <c r="B77" s="41" t="s">
        <v>114</v>
      </c>
      <c r="C77" s="41" t="s">
        <v>215</v>
      </c>
      <c r="D77" s="41" t="n">
        <v>33</v>
      </c>
      <c r="E77" s="41" t="s">
        <v>35</v>
      </c>
      <c r="F77" s="41" t="s">
        <v>220</v>
      </c>
      <c r="G77" s="41" t="n">
        <v>175000</v>
      </c>
      <c r="H77" s="41" t="n">
        <v>20</v>
      </c>
      <c r="I77" s="41" t="s">
        <v>216</v>
      </c>
      <c r="J77" s="41" t="n">
        <v>0</v>
      </c>
      <c r="K77" s="41" t="n">
        <v>3</v>
      </c>
      <c r="L77" s="41" t="n">
        <f aca="false">IF(C77="F",D77-3,D77)</f>
        <v>30</v>
      </c>
      <c r="M77" s="41" t="n">
        <f aca="false">_xlfn.XLOOKUP(L77,'DGI TABLE'!$A$2:$A$91,'DGI TABLE'!$G$2:$G$91)/_xlfn.XLOOKUP(L77,'DGI TABLE'!$A$2:$A$91,'DGI TABLE'!$C$2:$C$91)</f>
        <v>0.202871447119058</v>
      </c>
      <c r="N77" s="41" t="n">
        <f aca="false">(_xlfn.XLOOKUP(L77,'DGI TABLE'!$A$2:$A$91,'DGI TABLE'!$D$2:$D$91)-_xlfn.XLOOKUP(L77+H77,'DGI TABLE'!$A$2:$A$91,'DGI TABLE'!$D$2:$D$91))/_xlfn.XLOOKUP(L77,'DGI TABLE'!$A$2:$A$91,'DGI TABLE'!$C$2:$C$91)</f>
        <v>13.8728537288164</v>
      </c>
      <c r="O77" s="41" t="n">
        <f aca="false">M77/N77</f>
        <v>0.014623627631686</v>
      </c>
      <c r="P77" s="41" t="n">
        <f aca="false">_xlfn.XLOOKUP(L77+1,'DGI TABLE'!$A$2:$A$91,'DGI TABLE'!$G$2:$G$91)/_xlfn.XLOOKUP(L77+1,'DGI TABLE'!$A$2:$A$91,'DGI TABLE'!$C$2:$C$91)</f>
        <v>0.209579359510845</v>
      </c>
      <c r="Q77" s="41" t="n">
        <f aca="false">(_xlfn.XLOOKUP(L77+1,'DGI TABLE'!$A$2:$A$91,'DGI TABLE'!$D$2:$D$91)-_xlfn.XLOOKUP(L77+H77,'DGI TABLE'!$A$2:$A$91,'DGI TABLE'!$D$2:$D$91))/_xlfn.XLOOKUP(L77+1,'DGI TABLE'!$A$2:$A$91,'DGI TABLE'!$C$2:$C$91)</f>
        <v>13.4116406390047</v>
      </c>
      <c r="R77" s="41" t="n">
        <f aca="false">_xlfn.XLOOKUP(L77,'DGI TABLE'!$A$2:$A$91,'DGI TABLE'!$F$2:$F$91)/_xlfn.XLOOKUP(L77,'DGI TABLE'!$A$2:$A$91,'DGI TABLE'!$C$2:$C$91)</f>
        <v>0.0017115393113604</v>
      </c>
      <c r="S77" s="41" t="n">
        <f aca="false">P77/Q77</f>
        <v>0.0156266757477331</v>
      </c>
      <c r="T77" s="41" t="n">
        <f aca="false">O77+0.03/N77</f>
        <v>0.0167861243022654</v>
      </c>
      <c r="U77" s="41" t="n">
        <f aca="false">MIN(S77,T77)</f>
        <v>0.0156266757477331</v>
      </c>
      <c r="V77" s="41" t="n">
        <f aca="false">_xlfn.XLOOKUP(L77+K77,'DGI TABLE'!$A$2:$A$91,'DGI TABLE'!$G$2:$G$91)/_xlfn.XLOOKUP(L77+K77,'DGI TABLE'!$A$2:$A$91,'DGI TABLE'!$C$2:$C$91)</f>
        <v>0.223849596257388</v>
      </c>
      <c r="W77" s="41" t="n">
        <f aca="false">(_xlfn.XLOOKUP(L77+K77,'DGI TABLE'!$A$2:$A$91,'DGI TABLE'!$D$2:$D$91)-_xlfn.XLOOKUP(L77+H77,'DGI TABLE'!$A$2:$A$91,'DGI TABLE'!$D$2:$D$91))/_xlfn.XLOOKUP(L77+K77,'DGI TABLE'!$A$2:$A$91,'DGI TABLE'!$C$2:$C$91)</f>
        <v>12.4304844246276</v>
      </c>
      <c r="X77" s="41" t="n">
        <f aca="false">G77*(V77-(U77*W77))</f>
        <v>5180.42818413518</v>
      </c>
      <c r="Y77" s="40"/>
    </row>
    <row r="78" customFormat="false" ht="14.25" hidden="false" customHeight="false" outlineLevel="0" collapsed="false">
      <c r="A78" s="41" t="n">
        <v>77</v>
      </c>
      <c r="B78" s="41" t="s">
        <v>111</v>
      </c>
      <c r="C78" s="41" t="s">
        <v>217</v>
      </c>
      <c r="D78" s="41" t="n">
        <v>34</v>
      </c>
      <c r="E78" s="41" t="s">
        <v>35</v>
      </c>
      <c r="F78" s="41" t="s">
        <v>220</v>
      </c>
      <c r="G78" s="41" t="n">
        <v>80000</v>
      </c>
      <c r="H78" s="41" t="n">
        <v>20</v>
      </c>
      <c r="I78" s="41" t="s">
        <v>216</v>
      </c>
      <c r="J78" s="41" t="n">
        <v>0</v>
      </c>
      <c r="K78" s="41" t="n">
        <v>6</v>
      </c>
      <c r="L78" s="41" t="n">
        <f aca="false">IF(C78="F",D78-3,D78)</f>
        <v>34</v>
      </c>
      <c r="M78" s="41" t="n">
        <f aca="false">_xlfn.XLOOKUP(L78,'DGI TABLE'!$A$2:$A$91,'DGI TABLE'!$G$2:$G$91)/_xlfn.XLOOKUP(L78,'DGI TABLE'!$A$2:$A$91,'DGI TABLE'!$C$2:$C$91)</f>
        <v>0.23138163315643</v>
      </c>
      <c r="N78" s="41" t="n">
        <f aca="false">(_xlfn.XLOOKUP(L78,'DGI TABLE'!$A$2:$A$91,'DGI TABLE'!$D$2:$D$91)-_xlfn.XLOOKUP(L78+H78,'DGI TABLE'!$A$2:$A$91,'DGI TABLE'!$D$2:$D$91))/_xlfn.XLOOKUP(L78,'DGI TABLE'!$A$2:$A$91,'DGI TABLE'!$C$2:$C$91)</f>
        <v>13.7982255948813</v>
      </c>
      <c r="O78" s="41" t="n">
        <f aca="false">M78/N78</f>
        <v>0.0167689411631496</v>
      </c>
      <c r="P78" s="41" t="n">
        <f aca="false">_xlfn.XLOOKUP(L78+1,'DGI TABLE'!$A$2:$A$91,'DGI TABLE'!$G$2:$G$91)/_xlfn.XLOOKUP(L78+1,'DGI TABLE'!$A$2:$A$91,'DGI TABLE'!$C$2:$C$91)</f>
        <v>0.239168490424031</v>
      </c>
      <c r="Q78" s="41" t="n">
        <f aca="false">(_xlfn.XLOOKUP(L78+1,'DGI TABLE'!$A$2:$A$91,'DGI TABLE'!$D$2:$D$91)-_xlfn.XLOOKUP(L78+H78,'DGI TABLE'!$A$2:$A$91,'DGI TABLE'!$D$2:$D$91))/_xlfn.XLOOKUP(L78+1,'DGI TABLE'!$A$2:$A$91,'DGI TABLE'!$C$2:$C$91)</f>
        <v>13.3358927208573</v>
      </c>
      <c r="R78" s="41" t="n">
        <f aca="false">_xlfn.XLOOKUP(L78,'DGI TABLE'!$A$2:$A$91,'DGI TABLE'!$F$2:$F$91)/_xlfn.XLOOKUP(L78,'DGI TABLE'!$A$2:$A$91,'DGI TABLE'!$C$2:$C$91)</f>
        <v>0.00185576940629135</v>
      </c>
      <c r="S78" s="41" t="n">
        <f aca="false">P78/Q78</f>
        <v>0.017934194240328</v>
      </c>
      <c r="T78" s="41" t="n">
        <f aca="false">O78+0.03/N78</f>
        <v>0.0189431337644888</v>
      </c>
      <c r="U78" s="41" t="n">
        <f aca="false">MIN(S78,T78)</f>
        <v>0.017934194240328</v>
      </c>
      <c r="V78" s="41" t="n">
        <f aca="false">_xlfn.XLOOKUP(L78+K78,'DGI TABLE'!$A$2:$A$91,'DGI TABLE'!$G$2:$G$91)/_xlfn.XLOOKUP(L78+K78,'DGI TABLE'!$A$2:$A$91,'DGI TABLE'!$C$2:$C$91)</f>
        <v>0.281984003870169</v>
      </c>
      <c r="W78" s="41" t="n">
        <f aca="false">(_xlfn.XLOOKUP(L78+K78,'DGI TABLE'!$A$2:$A$91,'DGI TABLE'!$D$2:$D$91)-_xlfn.XLOOKUP(L78+H78,'DGI TABLE'!$A$2:$A$91,'DGI TABLE'!$D$2:$D$91))/_xlfn.XLOOKUP(L78+K78,'DGI TABLE'!$A$2:$A$91,'DGI TABLE'!$C$2:$C$91)</f>
        <v>10.7365856075857</v>
      </c>
      <c r="X78" s="41" t="n">
        <f aca="false">G78*(V78-(U78*W78))</f>
        <v>7154.55936846542</v>
      </c>
      <c r="Y78" s="40"/>
    </row>
    <row r="79" customFormat="false" ht="14.25" hidden="false" customHeight="false" outlineLevel="0" collapsed="false">
      <c r="A79" s="41" t="n">
        <v>78</v>
      </c>
      <c r="B79" s="41" t="s">
        <v>122</v>
      </c>
      <c r="C79" s="41" t="s">
        <v>215</v>
      </c>
      <c r="D79" s="41" t="n">
        <v>30</v>
      </c>
      <c r="E79" s="41" t="s">
        <v>35</v>
      </c>
      <c r="F79" s="41" t="s">
        <v>220</v>
      </c>
      <c r="G79" s="41" t="n">
        <v>175000</v>
      </c>
      <c r="H79" s="41" t="n">
        <v>20</v>
      </c>
      <c r="I79" s="41" t="s">
        <v>216</v>
      </c>
      <c r="J79" s="41" t="n">
        <v>0</v>
      </c>
      <c r="K79" s="41" t="n">
        <v>7</v>
      </c>
      <c r="L79" s="41" t="n">
        <f aca="false">IF(C79="F",D79-3,D79)</f>
        <v>27</v>
      </c>
      <c r="M79" s="41" t="n">
        <f aca="false">_xlfn.XLOOKUP(L79,'DGI TABLE'!$A$2:$A$91,'DGI TABLE'!$G$2:$G$91)/_xlfn.XLOOKUP(L79,'DGI TABLE'!$A$2:$A$91,'DGI TABLE'!$C$2:$C$91)</f>
        <v>0.184525693866612</v>
      </c>
      <c r="N79" s="41" t="n">
        <f aca="false">(_xlfn.XLOOKUP(L79,'DGI TABLE'!$A$2:$A$91,'DGI TABLE'!$D$2:$D$91)-_xlfn.XLOOKUP(L79+H79,'DGI TABLE'!$A$2:$A$91,'DGI TABLE'!$D$2:$D$91))/_xlfn.XLOOKUP(L79,'DGI TABLE'!$A$2:$A$91,'DGI TABLE'!$C$2:$C$91)</f>
        <v>13.8993822820074</v>
      </c>
      <c r="O79" s="41" t="n">
        <f aca="false">M79/N79</f>
        <v>0.0132758197539094</v>
      </c>
      <c r="P79" s="41" t="n">
        <f aca="false">_xlfn.XLOOKUP(L79+1,'DGI TABLE'!$A$2:$A$91,'DGI TABLE'!$G$2:$G$91)/_xlfn.XLOOKUP(L79+1,'DGI TABLE'!$A$2:$A$91,'DGI TABLE'!$C$2:$C$91)</f>
        <v>0.190352197164366</v>
      </c>
      <c r="Q79" s="41" t="n">
        <f aca="false">(_xlfn.XLOOKUP(L79+1,'DGI TABLE'!$A$2:$A$91,'DGI TABLE'!$D$2:$D$91)-_xlfn.XLOOKUP(L79+H79,'DGI TABLE'!$A$2:$A$91,'DGI TABLE'!$D$2:$D$91))/_xlfn.XLOOKUP(L79+1,'DGI TABLE'!$A$2:$A$91,'DGI TABLE'!$C$2:$C$91)</f>
        <v>13.4411644189673</v>
      </c>
      <c r="R79" s="41" t="n">
        <f aca="false">_xlfn.XLOOKUP(L79,'DGI TABLE'!$A$2:$A$91,'DGI TABLE'!$F$2:$F$91)/_xlfn.XLOOKUP(L79,'DGI TABLE'!$A$2:$A$91,'DGI TABLE'!$C$2:$C$91)</f>
        <v>0.0018461548790625</v>
      </c>
      <c r="S79" s="41" t="n">
        <f aca="false">P79/Q79</f>
        <v>0.0141618829463728</v>
      </c>
      <c r="T79" s="41" t="n">
        <f aca="false">O79+0.03/N79</f>
        <v>0.0154341890534454</v>
      </c>
      <c r="U79" s="41" t="n">
        <f aca="false">MIN(S79,T79)</f>
        <v>0.0141618829463728</v>
      </c>
      <c r="V79" s="41" t="n">
        <f aca="false">_xlfn.XLOOKUP(L79+K79,'DGI TABLE'!$A$2:$A$91,'DGI TABLE'!$G$2:$G$91)/_xlfn.XLOOKUP(L79+K79,'DGI TABLE'!$A$2:$A$91,'DGI TABLE'!$C$2:$C$91)</f>
        <v>0.23138163315643</v>
      </c>
      <c r="W79" s="41" t="n">
        <f aca="false">(_xlfn.XLOOKUP(L79+K79,'DGI TABLE'!$A$2:$A$91,'DGI TABLE'!$D$2:$D$91)-_xlfn.XLOOKUP(L79+H79,'DGI TABLE'!$A$2:$A$91,'DGI TABLE'!$D$2:$D$91))/_xlfn.XLOOKUP(L79+K79,'DGI TABLE'!$A$2:$A$91,'DGI TABLE'!$C$2:$C$91)</f>
        <v>10.2499788650046</v>
      </c>
      <c r="X79" s="41" t="n">
        <f aca="false">G79*(V79-(U79*W79))</f>
        <v>15088.9606468019</v>
      </c>
      <c r="Y79" s="40"/>
    </row>
    <row r="80" customFormat="false" ht="14.25" hidden="false" customHeight="false" outlineLevel="0" collapsed="false">
      <c r="A80" s="41" t="n">
        <v>79</v>
      </c>
      <c r="B80" s="41" t="s">
        <v>126</v>
      </c>
      <c r="C80" s="41" t="s">
        <v>215</v>
      </c>
      <c r="D80" s="41" t="n">
        <v>32</v>
      </c>
      <c r="E80" s="41" t="s">
        <v>35</v>
      </c>
      <c r="F80" s="41" t="s">
        <v>220</v>
      </c>
      <c r="G80" s="41" t="n">
        <v>80000</v>
      </c>
      <c r="H80" s="41" t="n">
        <v>15</v>
      </c>
      <c r="I80" s="41" t="s">
        <v>216</v>
      </c>
      <c r="J80" s="41" t="n">
        <v>0</v>
      </c>
      <c r="K80" s="41" t="n">
        <v>2</v>
      </c>
      <c r="L80" s="41" t="n">
        <f aca="false">IF(C80="F",D80-3,D80)</f>
        <v>29</v>
      </c>
      <c r="M80" s="41" t="n">
        <f aca="false">_xlfn.XLOOKUP(L80,'DGI TABLE'!$A$2:$A$91,'DGI TABLE'!$G$2:$G$91)/_xlfn.XLOOKUP(L80,'DGI TABLE'!$A$2:$A$91,'DGI TABLE'!$C$2:$C$91)</f>
        <v>0.196463675901825</v>
      </c>
      <c r="N80" s="41" t="n">
        <f aca="false">(_xlfn.XLOOKUP(L80,'DGI TABLE'!$A$2:$A$91,'DGI TABLE'!$D$2:$D$91)-_xlfn.XLOOKUP(L80+H80,'DGI TABLE'!$A$2:$A$91,'DGI TABLE'!$D$2:$D$91))/_xlfn.XLOOKUP(L80,'DGI TABLE'!$A$2:$A$91,'DGI TABLE'!$C$2:$C$91)</f>
        <v>11.4210466187893</v>
      </c>
      <c r="O80" s="41" t="n">
        <f aca="false">M80/N80</f>
        <v>0.0172018977296366</v>
      </c>
      <c r="P80" s="41" t="n">
        <f aca="false">_xlfn.XLOOKUP(L80+1,'DGI TABLE'!$A$2:$A$91,'DGI TABLE'!$G$2:$G$91)/_xlfn.XLOOKUP(L80+1,'DGI TABLE'!$A$2:$A$91,'DGI TABLE'!$C$2:$C$91)</f>
        <v>0.202871447119058</v>
      </c>
      <c r="Q80" s="41" t="n">
        <f aca="false">(_xlfn.XLOOKUP(L80+1,'DGI TABLE'!$A$2:$A$91,'DGI TABLE'!$D$2:$D$91)-_xlfn.XLOOKUP(L80+H80,'DGI TABLE'!$A$2:$A$91,'DGI TABLE'!$D$2:$D$91))/_xlfn.XLOOKUP(L80+1,'DGI TABLE'!$A$2:$A$91,'DGI TABLE'!$C$2:$C$91)</f>
        <v>10.8576493584025</v>
      </c>
      <c r="R80" s="41" t="n">
        <f aca="false">_xlfn.XLOOKUP(L80,'DGI TABLE'!$A$2:$A$91,'DGI TABLE'!$F$2:$F$91)/_xlfn.XLOOKUP(L80,'DGI TABLE'!$A$2:$A$91,'DGI TABLE'!$C$2:$C$91)</f>
        <v>0.00175000154011953</v>
      </c>
      <c r="S80" s="41" t="n">
        <f aca="false">P80/Q80</f>
        <v>0.0186846563581517</v>
      </c>
      <c r="T80" s="41" t="n">
        <f aca="false">O80+0.03/N80</f>
        <v>0.019828627223118</v>
      </c>
      <c r="U80" s="41" t="n">
        <f aca="false">MIN(S80,T80)</f>
        <v>0.0186846563581517</v>
      </c>
      <c r="V80" s="41" t="n">
        <f aca="false">_xlfn.XLOOKUP(L80+K80,'DGI TABLE'!$A$2:$A$91,'DGI TABLE'!$G$2:$G$91)/_xlfn.XLOOKUP(L80+K80,'DGI TABLE'!$A$2:$A$91,'DGI TABLE'!$C$2:$C$91)</f>
        <v>0.209579359510845</v>
      </c>
      <c r="W80" s="41" t="n">
        <f aca="false">(_xlfn.XLOOKUP(L80+K80,'DGI TABLE'!$A$2:$A$91,'DGI TABLE'!$D$2:$D$91)-_xlfn.XLOOKUP(L80+H80,'DGI TABLE'!$A$2:$A$91,'DGI TABLE'!$D$2:$D$91))/_xlfn.XLOOKUP(L80+K80,'DGI TABLE'!$A$2:$A$91,'DGI TABLE'!$C$2:$C$91)</f>
        <v>10.2702363846688</v>
      </c>
      <c r="X80" s="41" t="n">
        <f aca="false">G80*(V80-(U80*W80))</f>
        <v>1414.68175570575</v>
      </c>
      <c r="Y80" s="40"/>
    </row>
    <row r="81" customFormat="false" ht="14.25" hidden="false" customHeight="false" outlineLevel="0" collapsed="false">
      <c r="A81" s="41" t="n">
        <v>80</v>
      </c>
      <c r="B81" s="41" t="s">
        <v>132</v>
      </c>
      <c r="C81" s="41" t="s">
        <v>215</v>
      </c>
      <c r="D81" s="41" t="n">
        <v>45</v>
      </c>
      <c r="E81" s="41" t="s">
        <v>35</v>
      </c>
      <c r="F81" s="41" t="s">
        <v>220</v>
      </c>
      <c r="G81" s="41" t="n">
        <v>60000</v>
      </c>
      <c r="H81" s="41" t="n">
        <v>5</v>
      </c>
      <c r="I81" s="41" t="s">
        <v>216</v>
      </c>
      <c r="J81" s="41" t="n">
        <v>0</v>
      </c>
      <c r="K81" s="41" t="n">
        <v>2</v>
      </c>
      <c r="L81" s="41" t="n">
        <f aca="false">IF(C81="F",D81-3,D81)</f>
        <v>42</v>
      </c>
      <c r="M81" s="41" t="n">
        <f aca="false">_xlfn.XLOOKUP(L81,'DGI TABLE'!$A$2:$A$91,'DGI TABLE'!$G$2:$G$91)/_xlfn.XLOOKUP(L81,'DGI TABLE'!$A$2:$A$91,'DGI TABLE'!$C$2:$C$91)</f>
        <v>0.300940980715308</v>
      </c>
      <c r="N81" s="41" t="n">
        <f aca="false">(_xlfn.XLOOKUP(L81,'DGI TABLE'!$A$2:$A$91,'DGI TABLE'!$D$2:$D$91)-_xlfn.XLOOKUP(L81+H81,'DGI TABLE'!$A$2:$A$91,'DGI TABLE'!$D$2:$D$91))/_xlfn.XLOOKUP(L81,'DGI TABLE'!$A$2:$A$91,'DGI TABLE'!$C$2:$C$91)</f>
        <v>4.59885469646192</v>
      </c>
      <c r="O81" s="41" t="n">
        <f aca="false">M81/N81</f>
        <v>0.0654382450802008</v>
      </c>
      <c r="P81" s="41" t="n">
        <f aca="false">_xlfn.XLOOKUP(L81+1,'DGI TABLE'!$A$2:$A$91,'DGI TABLE'!$G$2:$G$91)/_xlfn.XLOOKUP(L81+1,'DGI TABLE'!$A$2:$A$91,'DGI TABLE'!$C$2:$C$91)</f>
        <v>0.310780012069358</v>
      </c>
      <c r="Q81" s="41" t="n">
        <f aca="false">(_xlfn.XLOOKUP(L81+1,'DGI TABLE'!$A$2:$A$91,'DGI TABLE'!$D$2:$D$91)-_xlfn.XLOOKUP(L81+H81,'DGI TABLE'!$A$2:$A$91,'DGI TABLE'!$D$2:$D$91))/_xlfn.XLOOKUP(L81+1,'DGI TABLE'!$A$2:$A$91,'DGI TABLE'!$C$2:$C$91)</f>
        <v>3.7547866735528</v>
      </c>
      <c r="R81" s="41" t="n">
        <f aca="false">_xlfn.XLOOKUP(L81,'DGI TABLE'!$A$2:$A$91,'DGI TABLE'!$F$2:$F$91)/_xlfn.XLOOKUP(L81,'DGI TABLE'!$A$2:$A$91,'DGI TABLE'!$C$2:$C$91)</f>
        <v>0.00306730552618788</v>
      </c>
      <c r="S81" s="41" t="n">
        <f aca="false">P81/Q81</f>
        <v>0.0827690196778334</v>
      </c>
      <c r="T81" s="41" t="n">
        <f aca="false">O81+0.03/N81</f>
        <v>0.0719616083913052</v>
      </c>
      <c r="U81" s="41" t="n">
        <f aca="false">MIN(S81,T81)</f>
        <v>0.0719616083913052</v>
      </c>
      <c r="V81" s="41" t="n">
        <f aca="false">_xlfn.XLOOKUP(L81+K81,'DGI TABLE'!$A$2:$A$91,'DGI TABLE'!$G$2:$G$91)/_xlfn.XLOOKUP(L81+K81,'DGI TABLE'!$A$2:$A$91,'DGI TABLE'!$C$2:$C$91)</f>
        <v>0.320840933775381</v>
      </c>
      <c r="W81" s="41" t="n">
        <f aca="false">(_xlfn.XLOOKUP(L81+K81,'DGI TABLE'!$A$2:$A$91,'DGI TABLE'!$D$2:$D$91)-_xlfn.XLOOKUP(L81+H81,'DGI TABLE'!$A$2:$A$91,'DGI TABLE'!$D$2:$D$91))/_xlfn.XLOOKUP(L81+K81,'DGI TABLE'!$A$2:$A$91,'DGI TABLE'!$C$2:$C$91)</f>
        <v>2.87501183928022</v>
      </c>
      <c r="X81" s="41" t="n">
        <f aca="false">G81*(V81-(U81*W81))</f>
        <v>6837.02746060394</v>
      </c>
      <c r="Y81" s="40"/>
    </row>
    <row r="82" customFormat="false" ht="14.25" hidden="false" customHeight="false" outlineLevel="0" collapsed="false">
      <c r="A82" s="41" t="n">
        <v>81</v>
      </c>
      <c r="B82" s="41" t="s">
        <v>129</v>
      </c>
      <c r="C82" s="41" t="s">
        <v>217</v>
      </c>
      <c r="D82" s="41" t="n">
        <v>60</v>
      </c>
      <c r="E82" s="41" t="s">
        <v>35</v>
      </c>
      <c r="F82" s="41" t="s">
        <v>220</v>
      </c>
      <c r="G82" s="41" t="n">
        <v>60000</v>
      </c>
      <c r="H82" s="41" t="n">
        <v>20</v>
      </c>
      <c r="I82" s="41" t="s">
        <v>216</v>
      </c>
      <c r="J82" s="41" t="n">
        <v>0</v>
      </c>
      <c r="K82" s="41" t="n">
        <v>1</v>
      </c>
      <c r="L82" s="41" t="n">
        <f aca="false">IF(C82="F",D82-3,D82)</f>
        <v>60</v>
      </c>
      <c r="M82" s="41" t="n">
        <f aca="false">_xlfn.XLOOKUP(L82,'DGI TABLE'!$A$2:$A$91,'DGI TABLE'!$G$2:$G$91)/_xlfn.XLOOKUP(L82,'DGI TABLE'!$A$2:$A$91,'DGI TABLE'!$C$2:$C$91)</f>
        <v>0.506785830149128</v>
      </c>
      <c r="N82" s="41" t="n">
        <f aca="false">(_xlfn.XLOOKUP(L82,'DGI TABLE'!$A$2:$A$91,'DGI TABLE'!$D$2:$D$91)-_xlfn.XLOOKUP(L82+H82,'DGI TABLE'!$A$2:$A$91,'DGI TABLE'!$D$2:$D$91))/_xlfn.XLOOKUP(L82,'DGI TABLE'!$A$2:$A$91,'DGI TABLE'!$C$2:$C$91)</f>
        <v>11.5618024429194</v>
      </c>
      <c r="O82" s="41" t="n">
        <f aca="false">M82/N82</f>
        <v>0.0438327702493733</v>
      </c>
      <c r="P82" s="41" t="n">
        <f aca="false">_xlfn.XLOOKUP(L82+1,'DGI TABLE'!$A$2:$A$91,'DGI TABLE'!$G$2:$G$91)/_xlfn.XLOOKUP(L82+1,'DGI TABLE'!$A$2:$A$91,'DGI TABLE'!$C$2:$C$91)</f>
        <v>0.519957480344816</v>
      </c>
      <c r="Q82" s="41" t="n">
        <f aca="false">(_xlfn.XLOOKUP(L82+1,'DGI TABLE'!$A$2:$A$91,'DGI TABLE'!$D$2:$D$91)-_xlfn.XLOOKUP(L82+H82,'DGI TABLE'!$A$2:$A$91,'DGI TABLE'!$D$2:$D$91))/_xlfn.XLOOKUP(L82+1,'DGI TABLE'!$A$2:$A$91,'DGI TABLE'!$C$2:$C$91)</f>
        <v>11.1491716792014</v>
      </c>
      <c r="R82" s="41" t="n">
        <f aca="false">_xlfn.XLOOKUP(L82,'DGI TABLE'!$A$2:$A$91,'DGI TABLE'!$F$2:$F$91)/_xlfn.XLOOKUP(L82,'DGI TABLE'!$A$2:$A$91,'DGI TABLE'!$C$2:$C$91)</f>
        <v>0.0142211496388498</v>
      </c>
      <c r="S82" s="41" t="n">
        <f aca="false">P82/Q82</f>
        <v>0.0466364224451569</v>
      </c>
      <c r="T82" s="41" t="n">
        <f aca="false">O82+0.03/N82</f>
        <v>0.0464275213833864</v>
      </c>
      <c r="U82" s="41" t="n">
        <f aca="false">MIN(S82,T82)</f>
        <v>0.0464275213833864</v>
      </c>
      <c r="V82" s="41" t="n">
        <f aca="false">_xlfn.XLOOKUP(L82+K82,'DGI TABLE'!$A$2:$A$91,'DGI TABLE'!$G$2:$G$91)/_xlfn.XLOOKUP(L82+K82,'DGI TABLE'!$A$2:$A$91,'DGI TABLE'!$C$2:$C$91)</f>
        <v>0.519957480344816</v>
      </c>
      <c r="W82" s="41" t="n">
        <f aca="false">(_xlfn.XLOOKUP(L82+K82,'DGI TABLE'!$A$2:$A$91,'DGI TABLE'!$D$2:$D$91)-_xlfn.XLOOKUP(L82+H82,'DGI TABLE'!$A$2:$A$91,'DGI TABLE'!$D$2:$D$91))/_xlfn.XLOOKUP(L82+K82,'DGI TABLE'!$A$2:$A$91,'DGI TABLE'!$C$2:$C$91)</f>
        <v>11.1491716792014</v>
      </c>
      <c r="X82" s="41" t="n">
        <f aca="false">G82*(V82-(U82*W82))</f>
        <v>139.744428098842</v>
      </c>
      <c r="Y82" s="40"/>
    </row>
    <row r="83" customFormat="false" ht="14.25" hidden="false" customHeight="false" outlineLevel="0" collapsed="false">
      <c r="A83" s="41" t="n">
        <v>82</v>
      </c>
      <c r="B83" s="41" t="s">
        <v>131</v>
      </c>
      <c r="C83" s="41" t="s">
        <v>217</v>
      </c>
      <c r="D83" s="41" t="n">
        <v>22</v>
      </c>
      <c r="E83" s="41" t="s">
        <v>35</v>
      </c>
      <c r="F83" s="41" t="s">
        <v>220</v>
      </c>
      <c r="G83" s="41" t="n">
        <v>60000</v>
      </c>
      <c r="H83" s="41" t="n">
        <v>25</v>
      </c>
      <c r="I83" s="41" t="s">
        <v>216</v>
      </c>
      <c r="J83" s="41" t="n">
        <v>0</v>
      </c>
      <c r="K83" s="41" t="n">
        <v>8</v>
      </c>
      <c r="L83" s="41" t="n">
        <f aca="false">IF(C83="F",D83-3,D83)</f>
        <v>22</v>
      </c>
      <c r="M83" s="41" t="n">
        <f aca="false">_xlfn.XLOOKUP(L83,'DGI TABLE'!$A$2:$A$91,'DGI TABLE'!$G$2:$G$91)/_xlfn.XLOOKUP(L83,'DGI TABLE'!$A$2:$A$91,'DGI TABLE'!$C$2:$C$91)</f>
        <v>0.159411443818562</v>
      </c>
      <c r="N83" s="41" t="n">
        <f aca="false">(_xlfn.XLOOKUP(L83,'DGI TABLE'!$A$2:$A$91,'DGI TABLE'!$D$2:$D$91)-_xlfn.XLOOKUP(L83+H83,'DGI TABLE'!$A$2:$A$91,'DGI TABLE'!$D$2:$D$91))/_xlfn.XLOOKUP(L83,'DGI TABLE'!$A$2:$A$91,'DGI TABLE'!$C$2:$C$91)</f>
        <v>15.9155724140654</v>
      </c>
      <c r="O83" s="41" t="n">
        <f aca="false">M83/N83</f>
        <v>0.0100160672623802</v>
      </c>
      <c r="P83" s="41" t="n">
        <f aca="false">_xlfn.XLOOKUP(L83+1,'DGI TABLE'!$A$2:$A$91,'DGI TABLE'!$G$2:$G$91)/_xlfn.XLOOKUP(L83+1,'DGI TABLE'!$A$2:$A$91,'DGI TABLE'!$C$2:$C$91)</f>
        <v>0.163956966982694</v>
      </c>
      <c r="Q83" s="41" t="n">
        <f aca="false">(_xlfn.XLOOKUP(L83+1,'DGI TABLE'!$A$2:$A$91,'DGI TABLE'!$D$2:$D$91)-_xlfn.XLOOKUP(L83+H83,'DGI TABLE'!$A$2:$A$91,'DGI TABLE'!$D$2:$D$91))/_xlfn.XLOOKUP(L83+1,'DGI TABLE'!$A$2:$A$91,'DGI TABLE'!$C$2:$C$91)</f>
        <v>15.5462414672668</v>
      </c>
      <c r="R83" s="41" t="n">
        <f aca="false">_xlfn.XLOOKUP(L83,'DGI TABLE'!$A$2:$A$91,'DGI TABLE'!$F$2:$F$91)/_xlfn.XLOOKUP(L83,'DGI TABLE'!$A$2:$A$91,'DGI TABLE'!$C$2:$C$91)</f>
        <v>0.00210576842621671</v>
      </c>
      <c r="S83" s="41" t="n">
        <f aca="false">P83/Q83</f>
        <v>0.0105464055301026</v>
      </c>
      <c r="T83" s="41" t="n">
        <f aca="false">O83+0.03/N83</f>
        <v>0.0119010136042088</v>
      </c>
      <c r="U83" s="41" t="n">
        <f aca="false">MIN(S83,T83)</f>
        <v>0.0105464055301026</v>
      </c>
      <c r="V83" s="41" t="n">
        <f aca="false">_xlfn.XLOOKUP(L83+K83,'DGI TABLE'!$A$2:$A$91,'DGI TABLE'!$G$2:$G$91)/_xlfn.XLOOKUP(L83+K83,'DGI TABLE'!$A$2:$A$91,'DGI TABLE'!$C$2:$C$91)</f>
        <v>0.202871447119058</v>
      </c>
      <c r="W83" s="41" t="n">
        <f aca="false">(_xlfn.XLOOKUP(L83+K83,'DGI TABLE'!$A$2:$A$91,'DGI TABLE'!$D$2:$D$91)-_xlfn.XLOOKUP(L83+H83,'DGI TABLE'!$A$2:$A$91,'DGI TABLE'!$D$2:$D$91))/_xlfn.XLOOKUP(L83+K83,'DGI TABLE'!$A$2:$A$91,'DGI TABLE'!$C$2:$C$91)</f>
        <v>12.4642592514492</v>
      </c>
      <c r="X83" s="41" t="n">
        <f aca="false">G83*(V83-(U83*W83))</f>
        <v>4285.09886525648</v>
      </c>
      <c r="Y83" s="40"/>
    </row>
    <row r="84" customFormat="false" ht="14.25" hidden="false" customHeight="false" outlineLevel="0" collapsed="false">
      <c r="A84" s="41" t="n">
        <v>83</v>
      </c>
      <c r="B84" s="41" t="s">
        <v>139</v>
      </c>
      <c r="C84" s="41" t="s">
        <v>217</v>
      </c>
      <c r="D84" s="41" t="n">
        <v>42</v>
      </c>
      <c r="E84" s="41" t="s">
        <v>35</v>
      </c>
      <c r="F84" s="41" t="s">
        <v>220</v>
      </c>
      <c r="G84" s="41" t="n">
        <v>180000</v>
      </c>
      <c r="H84" s="41" t="n">
        <v>5</v>
      </c>
      <c r="I84" s="41" t="s">
        <v>216</v>
      </c>
      <c r="J84" s="41" t="n">
        <v>0</v>
      </c>
      <c r="K84" s="41" t="n">
        <v>2</v>
      </c>
      <c r="L84" s="41" t="n">
        <f aca="false">IF(C84="F",D84-3,D84)</f>
        <v>42</v>
      </c>
      <c r="M84" s="41" t="n">
        <f aca="false">_xlfn.XLOOKUP(L84,'DGI TABLE'!$A$2:$A$91,'DGI TABLE'!$G$2:$G$91)/_xlfn.XLOOKUP(L84,'DGI TABLE'!$A$2:$A$91,'DGI TABLE'!$C$2:$C$91)</f>
        <v>0.300940980715308</v>
      </c>
      <c r="N84" s="41" t="n">
        <f aca="false">(_xlfn.XLOOKUP(L84,'DGI TABLE'!$A$2:$A$91,'DGI TABLE'!$D$2:$D$91)-_xlfn.XLOOKUP(L84+H84,'DGI TABLE'!$A$2:$A$91,'DGI TABLE'!$D$2:$D$91))/_xlfn.XLOOKUP(L84,'DGI TABLE'!$A$2:$A$91,'DGI TABLE'!$C$2:$C$91)</f>
        <v>4.59885469646192</v>
      </c>
      <c r="O84" s="41" t="n">
        <f aca="false">M84/N84</f>
        <v>0.0654382450802008</v>
      </c>
      <c r="P84" s="41" t="n">
        <f aca="false">_xlfn.XLOOKUP(L84+1,'DGI TABLE'!$A$2:$A$91,'DGI TABLE'!$G$2:$G$91)/_xlfn.XLOOKUP(L84+1,'DGI TABLE'!$A$2:$A$91,'DGI TABLE'!$C$2:$C$91)</f>
        <v>0.310780012069358</v>
      </c>
      <c r="Q84" s="41" t="n">
        <f aca="false">(_xlfn.XLOOKUP(L84+1,'DGI TABLE'!$A$2:$A$91,'DGI TABLE'!$D$2:$D$91)-_xlfn.XLOOKUP(L84+H84,'DGI TABLE'!$A$2:$A$91,'DGI TABLE'!$D$2:$D$91))/_xlfn.XLOOKUP(L84+1,'DGI TABLE'!$A$2:$A$91,'DGI TABLE'!$C$2:$C$91)</f>
        <v>3.7547866735528</v>
      </c>
      <c r="R84" s="41" t="n">
        <f aca="false">_xlfn.XLOOKUP(L84,'DGI TABLE'!$A$2:$A$91,'DGI TABLE'!$F$2:$F$91)/_xlfn.XLOOKUP(L84,'DGI TABLE'!$A$2:$A$91,'DGI TABLE'!$C$2:$C$91)</f>
        <v>0.00306730552618788</v>
      </c>
      <c r="S84" s="41" t="n">
        <f aca="false">P84/Q84</f>
        <v>0.0827690196778334</v>
      </c>
      <c r="T84" s="41" t="n">
        <f aca="false">O84+0.03/N84</f>
        <v>0.0719616083913052</v>
      </c>
      <c r="U84" s="41" t="n">
        <f aca="false">MIN(S84,T84)</f>
        <v>0.0719616083913052</v>
      </c>
      <c r="V84" s="41" t="n">
        <f aca="false">_xlfn.XLOOKUP(L84+K84,'DGI TABLE'!$A$2:$A$91,'DGI TABLE'!$G$2:$G$91)/_xlfn.XLOOKUP(L84+K84,'DGI TABLE'!$A$2:$A$91,'DGI TABLE'!$C$2:$C$91)</f>
        <v>0.320840933775381</v>
      </c>
      <c r="W84" s="41" t="n">
        <f aca="false">(_xlfn.XLOOKUP(L84+K84,'DGI TABLE'!$A$2:$A$91,'DGI TABLE'!$D$2:$D$91)-_xlfn.XLOOKUP(L84+H84,'DGI TABLE'!$A$2:$A$91,'DGI TABLE'!$D$2:$D$91))/_xlfn.XLOOKUP(L84+K84,'DGI TABLE'!$A$2:$A$91,'DGI TABLE'!$C$2:$C$91)</f>
        <v>2.87501183928022</v>
      </c>
      <c r="X84" s="41" t="n">
        <f aca="false">G84*(V84-(U84*W84))</f>
        <v>20511.0823818118</v>
      </c>
      <c r="Y84" s="40"/>
    </row>
    <row r="85" customFormat="false" ht="14.25" hidden="false" customHeight="false" outlineLevel="0" collapsed="false">
      <c r="A85" s="41" t="n">
        <v>84</v>
      </c>
      <c r="B85" s="41" t="s">
        <v>143</v>
      </c>
      <c r="C85" s="41" t="s">
        <v>217</v>
      </c>
      <c r="D85" s="41" t="n">
        <v>37</v>
      </c>
      <c r="E85" s="41" t="s">
        <v>35</v>
      </c>
      <c r="F85" s="41" t="s">
        <v>220</v>
      </c>
      <c r="G85" s="41" t="n">
        <v>175000</v>
      </c>
      <c r="H85" s="41" t="n">
        <v>20</v>
      </c>
      <c r="I85" s="41" t="s">
        <v>216</v>
      </c>
      <c r="J85" s="41" t="n">
        <v>0</v>
      </c>
      <c r="K85" s="41" t="n">
        <v>4</v>
      </c>
      <c r="L85" s="41" t="n">
        <f aca="false">IF(C85="F",D85-3,D85)</f>
        <v>37</v>
      </c>
      <c r="M85" s="41" t="n">
        <f aca="false">_xlfn.XLOOKUP(L85,'DGI TABLE'!$A$2:$A$91,'DGI TABLE'!$G$2:$G$91)/_xlfn.XLOOKUP(L85,'DGI TABLE'!$A$2:$A$91,'DGI TABLE'!$C$2:$C$91)</f>
        <v>0.255509982902637</v>
      </c>
      <c r="N85" s="41" t="n">
        <f aca="false">(_xlfn.XLOOKUP(L85,'DGI TABLE'!$A$2:$A$91,'DGI TABLE'!$D$2:$D$91)-_xlfn.XLOOKUP(L85+H85,'DGI TABLE'!$A$2:$A$91,'DGI TABLE'!$D$2:$D$91))/_xlfn.XLOOKUP(L85,'DGI TABLE'!$A$2:$A$91,'DGI TABLE'!$C$2:$C$91)</f>
        <v>13.7116511234463</v>
      </c>
      <c r="O85" s="41" t="n">
        <f aca="false">M85/N85</f>
        <v>0.0186345160478687</v>
      </c>
      <c r="P85" s="41" t="n">
        <f aca="false">_xlfn.XLOOKUP(L85+1,'DGI TABLE'!$A$2:$A$91,'DGI TABLE'!$G$2:$G$91)/_xlfn.XLOOKUP(L85+1,'DGI TABLE'!$A$2:$A$91,'DGI TABLE'!$C$2:$C$91)</f>
        <v>0.264067180535251</v>
      </c>
      <c r="Q85" s="41" t="n">
        <f aca="false">(_xlfn.XLOOKUP(L85+1,'DGI TABLE'!$A$2:$A$91,'DGI TABLE'!$D$2:$D$91)-_xlfn.XLOOKUP(L85+H85,'DGI TABLE'!$A$2:$A$91,'DGI TABLE'!$D$2:$D$91))/_xlfn.XLOOKUP(L85+1,'DGI TABLE'!$A$2:$A$91,'DGI TABLE'!$C$2:$C$91)</f>
        <v>13.2500627808321</v>
      </c>
      <c r="R85" s="41" t="n">
        <f aca="false">_xlfn.XLOOKUP(L85,'DGI TABLE'!$A$2:$A$91,'DGI TABLE'!$F$2:$F$91)/_xlfn.XLOOKUP(L85,'DGI TABLE'!$A$2:$A$91,'DGI TABLE'!$C$2:$C$91)</f>
        <v>0.0021730752201523</v>
      </c>
      <c r="S85" s="41" t="n">
        <f aca="false">P85/Q85</f>
        <v>0.0199295041014642</v>
      </c>
      <c r="T85" s="41" t="n">
        <f aca="false">O85+0.03/N85</f>
        <v>0.0208224363595737</v>
      </c>
      <c r="U85" s="41" t="n">
        <f aca="false">MIN(S85,T85)</f>
        <v>0.0199295041014642</v>
      </c>
      <c r="V85" s="41" t="n">
        <f aca="false">_xlfn.XLOOKUP(L85+K85,'DGI TABLE'!$A$2:$A$91,'DGI TABLE'!$G$2:$G$91)/_xlfn.XLOOKUP(L85+K85,'DGI TABLE'!$A$2:$A$91,'DGI TABLE'!$C$2:$C$91)</f>
        <v>0.291335783864701</v>
      </c>
      <c r="W85" s="41" t="n">
        <f aca="false">(_xlfn.XLOOKUP(L85+K85,'DGI TABLE'!$A$2:$A$91,'DGI TABLE'!$D$2:$D$91)-_xlfn.XLOOKUP(L85+H85,'DGI TABLE'!$A$2:$A$91,'DGI TABLE'!$D$2:$D$91))/_xlfn.XLOOKUP(L85+K85,'DGI TABLE'!$A$2:$A$91,'DGI TABLE'!$C$2:$C$91)</f>
        <v>11.7554603763459</v>
      </c>
      <c r="X85" s="41" t="n">
        <f aca="false">G85*(V85-(U85*W85))</f>
        <v>9984.67541395031</v>
      </c>
      <c r="Y85" s="40"/>
    </row>
    <row r="86" customFormat="false" ht="14.25" hidden="false" customHeight="false" outlineLevel="0" collapsed="false">
      <c r="A86" s="41" t="n">
        <v>85</v>
      </c>
      <c r="B86" s="41" t="s">
        <v>181</v>
      </c>
      <c r="C86" s="41" t="s">
        <v>217</v>
      </c>
      <c r="D86" s="41" t="n">
        <v>60</v>
      </c>
      <c r="E86" s="41" t="s">
        <v>35</v>
      </c>
      <c r="F86" s="41" t="s">
        <v>220</v>
      </c>
      <c r="G86" s="41" t="n">
        <v>120000</v>
      </c>
      <c r="H86" s="41" t="n">
        <v>25</v>
      </c>
      <c r="I86" s="41" t="s">
        <v>216</v>
      </c>
      <c r="J86" s="41" t="n">
        <v>0</v>
      </c>
      <c r="K86" s="41" t="n">
        <v>5</v>
      </c>
      <c r="L86" s="41" t="n">
        <f aca="false">IF(C86="F",D86-3,D86)</f>
        <v>60</v>
      </c>
      <c r="M86" s="41" t="n">
        <f aca="false">_xlfn.XLOOKUP(L86,'DGI TABLE'!$A$2:$A$91,'DGI TABLE'!$G$2:$G$91)/_xlfn.XLOOKUP(L86,'DGI TABLE'!$A$2:$A$91,'DGI TABLE'!$C$2:$C$91)</f>
        <v>0.506785830149128</v>
      </c>
      <c r="N86" s="41" t="n">
        <f aca="false">(_xlfn.XLOOKUP(L86,'DGI TABLE'!$A$2:$A$91,'DGI TABLE'!$D$2:$D$91)-_xlfn.XLOOKUP(L86+H86,'DGI TABLE'!$A$2:$A$91,'DGI TABLE'!$D$2:$D$91))/_xlfn.XLOOKUP(L86,'DGI TABLE'!$A$2:$A$91,'DGI TABLE'!$C$2:$C$91)</f>
        <v>12.3457973045763</v>
      </c>
      <c r="O86" s="41" t="n">
        <f aca="false">M86/N86</f>
        <v>0.0410492589215988</v>
      </c>
      <c r="P86" s="41" t="n">
        <f aca="false">_xlfn.XLOOKUP(L86+1,'DGI TABLE'!$A$2:$A$91,'DGI TABLE'!$G$2:$G$91)/_xlfn.XLOOKUP(L86+1,'DGI TABLE'!$A$2:$A$91,'DGI TABLE'!$C$2:$C$91)</f>
        <v>0.519957480344816</v>
      </c>
      <c r="Q86" s="41" t="n">
        <f aca="false">(_xlfn.XLOOKUP(L86+1,'DGI TABLE'!$A$2:$A$91,'DGI TABLE'!$D$2:$D$91)-_xlfn.XLOOKUP(L86+H86,'DGI TABLE'!$A$2:$A$91,'DGI TABLE'!$D$2:$D$91))/_xlfn.XLOOKUP(L86+1,'DGI TABLE'!$A$2:$A$91,'DGI TABLE'!$C$2:$C$91)</f>
        <v>11.9767665291774</v>
      </c>
      <c r="R86" s="41" t="n">
        <f aca="false">_xlfn.XLOOKUP(L86,'DGI TABLE'!$A$2:$A$91,'DGI TABLE'!$F$2:$F$91)/_xlfn.XLOOKUP(L86,'DGI TABLE'!$A$2:$A$91,'DGI TABLE'!$C$2:$C$91)</f>
        <v>0.0142211496388498</v>
      </c>
      <c r="S86" s="41" t="n">
        <f aca="false">P86/Q86</f>
        <v>0.0434138445529611</v>
      </c>
      <c r="T86" s="41" t="n">
        <f aca="false">O86+0.03/N86</f>
        <v>0.0434792356383622</v>
      </c>
      <c r="U86" s="41" t="n">
        <f aca="false">MIN(S86,T86)</f>
        <v>0.0434138445529611</v>
      </c>
      <c r="V86" s="41" t="n">
        <f aca="false">_xlfn.XLOOKUP(L86+K86,'DGI TABLE'!$A$2:$A$91,'DGI TABLE'!$G$2:$G$91)/_xlfn.XLOOKUP(L86+K86,'DGI TABLE'!$A$2:$A$91,'DGI TABLE'!$C$2:$C$91)</f>
        <v>0.573771902503392</v>
      </c>
      <c r="W86" s="41" t="n">
        <f aca="false">(_xlfn.XLOOKUP(L86+K86,'DGI TABLE'!$A$2:$A$91,'DGI TABLE'!$D$2:$D$91)-_xlfn.XLOOKUP(L86+H86,'DGI TABLE'!$A$2:$A$91,'DGI TABLE'!$D$2:$D$91))/_xlfn.XLOOKUP(L86+K86,'DGI TABLE'!$A$2:$A$91,'DGI TABLE'!$C$2:$C$91)</f>
        <v>10.4466486862848</v>
      </c>
      <c r="X86" s="41" t="n">
        <f aca="false">G86*(V86-(U86*W86))</f>
        <v>14429.1264405157</v>
      </c>
      <c r="Y86" s="40"/>
    </row>
    <row r="87" customFormat="false" ht="14.25" hidden="false" customHeight="false" outlineLevel="0" collapsed="false">
      <c r="A87" s="41" t="n">
        <v>86</v>
      </c>
      <c r="B87" s="41" t="s">
        <v>80</v>
      </c>
      <c r="C87" s="41" t="s">
        <v>215</v>
      </c>
      <c r="D87" s="41" t="n">
        <v>53</v>
      </c>
      <c r="E87" s="41" t="s">
        <v>37</v>
      </c>
      <c r="F87" s="42" t="s">
        <v>220</v>
      </c>
      <c r="G87" s="41" t="n">
        <v>100000</v>
      </c>
      <c r="H87" s="41" t="n">
        <v>5</v>
      </c>
      <c r="I87" s="41" t="s">
        <v>218</v>
      </c>
      <c r="J87" s="41" t="n">
        <v>0.05</v>
      </c>
      <c r="K87" s="41" t="n">
        <v>4</v>
      </c>
      <c r="L87" s="41" t="n">
        <f aca="false">IF(C87="F",D87-3,D87)</f>
        <v>50</v>
      </c>
      <c r="M87" s="41" t="n">
        <f aca="false">_xlfn.XLOOKUP(L87,'DGI TABLE'!$A$2:$A$91,'DGI TABLE'!$G$2:$G$91)/_xlfn.XLOOKUP(L87,'DGI TABLE'!$A$2:$A$91,'DGI TABLE'!$C$2:$C$91)</f>
        <v>0.385494099848904</v>
      </c>
      <c r="N87" s="41" t="n">
        <f aca="false">(_xlfn.XLOOKUP(L87,'DGI TABLE'!$A$2:$A$91,'DGI TABLE'!$D$2:$D$91)-_xlfn.XLOOKUP(L87+H87,'DGI TABLE'!$A$2:$A$91,'DGI TABLE'!$D$2:$D$91))/_xlfn.XLOOKUP(L87,'DGI TABLE'!$A$2:$A$91,'DGI TABLE'!$C$2:$C$91)</f>
        <v>4.56599672609076</v>
      </c>
      <c r="O87" s="41" t="n">
        <f aca="false">M87/N87</f>
        <v>0.0844271520490006</v>
      </c>
      <c r="P87" s="41" t="n">
        <f aca="false">_xlfn.XLOOKUP(L87+1,'DGI TABLE'!$A$2:$A$91,'DGI TABLE'!$G$2:$G$91)/_xlfn.XLOOKUP(L87+1,'DGI TABLE'!$A$2:$A$91,'DGI TABLE'!$C$2:$C$91)</f>
        <v>0.396933619755659</v>
      </c>
      <c r="Q87" s="41" t="n">
        <f aca="false">(_xlfn.XLOOKUP(L87+1,'DGI TABLE'!$A$2:$A$91,'DGI TABLE'!$D$2:$D$91)-_xlfn.XLOOKUP(L87+H87,'DGI TABLE'!$A$2:$A$91,'DGI TABLE'!$D$2:$D$91))/_xlfn.XLOOKUP(L87+1,'DGI TABLE'!$A$2:$A$91,'DGI TABLE'!$C$2:$C$91)</f>
        <v>3.73327615386483</v>
      </c>
      <c r="R87" s="41" t="n">
        <f aca="false">_xlfn.XLOOKUP(L87,'DGI TABLE'!$A$2:$A$91,'DGI TABLE'!$F$2:$F$91)/_xlfn.XLOOKUP(L87,'DGI TABLE'!$A$2:$A$91,'DGI TABLE'!$C$2:$C$91)</f>
        <v>0.00634615306262206</v>
      </c>
      <c r="S87" s="41" t="n">
        <f aca="false">P87/Q87</f>
        <v>0.106323133729268</v>
      </c>
      <c r="T87" s="41" t="n">
        <f aca="false">O87+0.03/N87</f>
        <v>0.090997458993939</v>
      </c>
      <c r="U87" s="41" t="n">
        <f aca="false">MIN(S87,T87)</f>
        <v>0.090997458993939</v>
      </c>
      <c r="V87" s="41" t="n">
        <f aca="false">_xlfn.XLOOKUP(L87+K87,'DGI TABLE'!$A$2:$A$91,'DGI TABLE'!$G$2:$G$91)/_xlfn.XLOOKUP(L87+K87,'DGI TABLE'!$A$2:$A$91,'DGI TABLE'!$C$2:$C$91)</f>
        <v>0.43220414086274</v>
      </c>
      <c r="W87" s="41" t="n">
        <f aca="false">(_xlfn.XLOOKUP(L87+K87,'DGI TABLE'!$A$2:$A$91,'DGI TABLE'!$D$2:$D$91)-_xlfn.XLOOKUP(L87+H87,'DGI TABLE'!$A$2:$A$91,'DGI TABLE'!$D$2:$D$91))/_xlfn.XLOOKUP(L87+K87,'DGI TABLE'!$A$2:$A$91,'DGI TABLE'!$C$2:$C$91)</f>
        <v>1.00000009449968</v>
      </c>
      <c r="X87" s="41" t="n">
        <f aca="false">G87*((((1+J87)^(K87-1))*V87)-(U87*W87))</f>
        <v>40933.285097306</v>
      </c>
      <c r="Y87" s="40"/>
    </row>
    <row r="88" customFormat="false" ht="14.25" hidden="false" customHeight="false" outlineLevel="0" collapsed="false">
      <c r="A88" s="41" t="n">
        <v>87</v>
      </c>
      <c r="B88" s="41" t="s">
        <v>92</v>
      </c>
      <c r="C88" s="41" t="s">
        <v>215</v>
      </c>
      <c r="D88" s="41" t="n">
        <v>46</v>
      </c>
      <c r="E88" s="41" t="s">
        <v>37</v>
      </c>
      <c r="F88" s="41" t="s">
        <v>220</v>
      </c>
      <c r="G88" s="41" t="n">
        <v>80000</v>
      </c>
      <c r="H88" s="41" t="n">
        <v>5</v>
      </c>
      <c r="I88" s="41" t="s">
        <v>218</v>
      </c>
      <c r="J88" s="41" t="n">
        <v>0.05</v>
      </c>
      <c r="K88" s="41" t="n">
        <v>3</v>
      </c>
      <c r="L88" s="41" t="n">
        <f aca="false">IF(C88="F",D88-3,D88)</f>
        <v>43</v>
      </c>
      <c r="M88" s="41" t="n">
        <f aca="false">_xlfn.XLOOKUP(L88,'DGI TABLE'!$A$2:$A$91,'DGI TABLE'!$G$2:$G$91)/_xlfn.XLOOKUP(L88,'DGI TABLE'!$A$2:$A$91,'DGI TABLE'!$C$2:$C$91)</f>
        <v>0.310780012069358</v>
      </c>
      <c r="N88" s="41" t="n">
        <f aca="false">(_xlfn.XLOOKUP(L88,'DGI TABLE'!$A$2:$A$91,'DGI TABLE'!$D$2:$D$91)-_xlfn.XLOOKUP(L88+H88,'DGI TABLE'!$A$2:$A$91,'DGI TABLE'!$D$2:$D$91))/_xlfn.XLOOKUP(L88,'DGI TABLE'!$A$2:$A$91,'DGI TABLE'!$C$2:$C$91)</f>
        <v>4.59590267600816</v>
      </c>
      <c r="O88" s="41" t="n">
        <f aca="false">M88/N88</f>
        <v>0.0676211038348816</v>
      </c>
      <c r="P88" s="41" t="n">
        <f aca="false">_xlfn.XLOOKUP(L88+1,'DGI TABLE'!$A$2:$A$91,'DGI TABLE'!$G$2:$G$91)/_xlfn.XLOOKUP(L88+1,'DGI TABLE'!$A$2:$A$91,'DGI TABLE'!$C$2:$C$91)</f>
        <v>0.320840933775381</v>
      </c>
      <c r="Q88" s="41" t="n">
        <f aca="false">(_xlfn.XLOOKUP(L88+1,'DGI TABLE'!$A$2:$A$91,'DGI TABLE'!$D$2:$D$91)-_xlfn.XLOOKUP(L88+H88,'DGI TABLE'!$A$2:$A$91,'DGI TABLE'!$D$2:$D$91))/_xlfn.XLOOKUP(L88+1,'DGI TABLE'!$A$2:$A$91,'DGI TABLE'!$C$2:$C$91)</f>
        <v>3.75283606011125</v>
      </c>
      <c r="R88" s="41" t="n">
        <f aca="false">_xlfn.XLOOKUP(L88,'DGI TABLE'!$A$2:$A$91,'DGI TABLE'!$F$2:$F$91)/_xlfn.XLOOKUP(L88,'DGI TABLE'!$A$2:$A$91,'DGI TABLE'!$C$2:$C$91)</f>
        <v>0.00335576665055383</v>
      </c>
      <c r="S88" s="41" t="n">
        <f aca="false">P88/Q88</f>
        <v>0.0854929255198721</v>
      </c>
      <c r="T88" s="41" t="n">
        <f aca="false">O88+0.03/N88</f>
        <v>0.0741486572046708</v>
      </c>
      <c r="U88" s="41" t="n">
        <f aca="false">MIN(S88,T88)</f>
        <v>0.0741486572046708</v>
      </c>
      <c r="V88" s="41" t="n">
        <f aca="false">_xlfn.XLOOKUP(L88+K88,'DGI TABLE'!$A$2:$A$91,'DGI TABLE'!$G$2:$G$91)/_xlfn.XLOOKUP(L88+K88,'DGI TABLE'!$A$2:$A$91,'DGI TABLE'!$C$2:$C$91)</f>
        <v>0.341598557977591</v>
      </c>
      <c r="W88" s="41" t="n">
        <f aca="false">(_xlfn.XLOOKUP(L88+K88,'DGI TABLE'!$A$2:$A$91,'DGI TABLE'!$D$2:$D$91)-_xlfn.XLOOKUP(L88+H88,'DGI TABLE'!$A$2:$A$91,'DGI TABLE'!$D$2:$D$91))/_xlfn.XLOOKUP(L88+K88,'DGI TABLE'!$A$2:$A$91,'DGI TABLE'!$C$2:$C$91)</f>
        <v>1.9571154253936</v>
      </c>
      <c r="X88" s="41" t="n">
        <f aca="false">G88*((((1+J88)^(K88-1))*V88)-(U88*W88))</f>
        <v>18519.5943506249</v>
      </c>
      <c r="Y88" s="40"/>
    </row>
    <row r="89" customFormat="false" ht="14.25" hidden="false" customHeight="false" outlineLevel="0" collapsed="false">
      <c r="A89" s="41" t="n">
        <v>88</v>
      </c>
      <c r="B89" s="41" t="s">
        <v>137</v>
      </c>
      <c r="C89" s="41" t="s">
        <v>217</v>
      </c>
      <c r="D89" s="41" t="n">
        <v>57</v>
      </c>
      <c r="E89" s="41" t="s">
        <v>37</v>
      </c>
      <c r="F89" s="41" t="s">
        <v>220</v>
      </c>
      <c r="G89" s="41" t="n">
        <v>60000</v>
      </c>
      <c r="H89" s="41" t="n">
        <v>20</v>
      </c>
      <c r="I89" s="41" t="s">
        <v>218</v>
      </c>
      <c r="J89" s="41" t="n">
        <v>0.05</v>
      </c>
      <c r="K89" s="41" t="n">
        <v>6</v>
      </c>
      <c r="L89" s="41" t="n">
        <f aca="false">IF(C89="F",D89-3,D89)</f>
        <v>57</v>
      </c>
      <c r="M89" s="41" t="n">
        <f aca="false">_xlfn.XLOOKUP(L89,'DGI TABLE'!$A$2:$A$91,'DGI TABLE'!$G$2:$G$91)/_xlfn.XLOOKUP(L89,'DGI TABLE'!$A$2:$A$91,'DGI TABLE'!$C$2:$C$91)</f>
        <v>0.468682807535086</v>
      </c>
      <c r="N89" s="41" t="n">
        <f aca="false">(_xlfn.XLOOKUP(L89,'DGI TABLE'!$A$2:$A$91,'DGI TABLE'!$D$2:$D$91)-_xlfn.XLOOKUP(L89+H89,'DGI TABLE'!$A$2:$A$91,'DGI TABLE'!$D$2:$D$91))/_xlfn.XLOOKUP(L89,'DGI TABLE'!$A$2:$A$91,'DGI TABLE'!$C$2:$C$91)</f>
        <v>12.0709504396198</v>
      </c>
      <c r="O89" s="41" t="n">
        <f aca="false">M89/N89</f>
        <v>0.0388273326014789</v>
      </c>
      <c r="P89" s="41" t="n">
        <f aca="false">_xlfn.XLOOKUP(L89+1,'DGI TABLE'!$A$2:$A$91,'DGI TABLE'!$G$2:$G$91)/_xlfn.XLOOKUP(L89+1,'DGI TABLE'!$A$2:$A$91,'DGI TABLE'!$C$2:$C$91)</f>
        <v>0.481152026728655</v>
      </c>
      <c r="Q89" s="41" t="n">
        <f aca="false">(_xlfn.XLOOKUP(L89+1,'DGI TABLE'!$A$2:$A$91,'DGI TABLE'!$D$2:$D$91)-_xlfn.XLOOKUP(L89+H89,'DGI TABLE'!$A$2:$A$91,'DGI TABLE'!$D$2:$D$91))/_xlfn.XLOOKUP(L89+1,'DGI TABLE'!$A$2:$A$91,'DGI TABLE'!$C$2:$C$91)</f>
        <v>11.6548109442943</v>
      </c>
      <c r="R89" s="41" t="n">
        <f aca="false">_xlfn.XLOOKUP(L89,'DGI TABLE'!$A$2:$A$91,'DGI TABLE'!$F$2:$F$91)/_xlfn.XLOOKUP(L89,'DGI TABLE'!$A$2:$A$91,'DGI TABLE'!$C$2:$C$91)</f>
        <v>0.011634617968071</v>
      </c>
      <c r="S89" s="41" t="n">
        <f aca="false">P89/Q89</f>
        <v>0.041283554836572</v>
      </c>
      <c r="T89" s="41" t="n">
        <f aca="false">O89+0.03/N89</f>
        <v>0.0413126381414249</v>
      </c>
      <c r="U89" s="41" t="n">
        <f aca="false">MIN(S89,T89)</f>
        <v>0.041283554836572</v>
      </c>
      <c r="V89" s="41" t="n">
        <f aca="false">_xlfn.XLOOKUP(L89+K89,'DGI TABLE'!$A$2:$A$91,'DGI TABLE'!$G$2:$G$91)/_xlfn.XLOOKUP(L89+K89,'DGI TABLE'!$A$2:$A$91,'DGI TABLE'!$C$2:$C$91)</f>
        <v>0.546743491648782</v>
      </c>
      <c r="W89" s="41" t="n">
        <f aca="false">(_xlfn.XLOOKUP(L89+K89,'DGI TABLE'!$A$2:$A$91,'DGI TABLE'!$D$2:$D$91)-_xlfn.XLOOKUP(L89+H89,'DGI TABLE'!$A$2:$A$91,'DGI TABLE'!$D$2:$D$91))/_xlfn.XLOOKUP(L89+K89,'DGI TABLE'!$A$2:$A$91,'DGI TABLE'!$C$2:$C$91)</f>
        <v>9.37670896100261</v>
      </c>
      <c r="X89" s="41" t="n">
        <f aca="false">G89*((((1+J89)^(K89-1))*V89)-(U89*W89))</f>
        <v>18641.6855538052</v>
      </c>
      <c r="Y89" s="40"/>
    </row>
    <row r="90" customFormat="false" ht="14.25" hidden="false" customHeight="false" outlineLevel="0" collapsed="false">
      <c r="A90" s="41" t="n">
        <v>89</v>
      </c>
      <c r="B90" s="41" t="s">
        <v>147</v>
      </c>
      <c r="C90" s="41" t="s">
        <v>217</v>
      </c>
      <c r="D90" s="41" t="n">
        <v>43</v>
      </c>
      <c r="E90" s="41" t="s">
        <v>37</v>
      </c>
      <c r="F90" s="41" t="s">
        <v>220</v>
      </c>
      <c r="G90" s="41" t="n">
        <v>50000</v>
      </c>
      <c r="H90" s="41" t="n">
        <v>20</v>
      </c>
      <c r="I90" s="41" t="s">
        <v>218</v>
      </c>
      <c r="J90" s="41" t="n">
        <v>0.05</v>
      </c>
      <c r="K90" s="41" t="n">
        <v>3</v>
      </c>
      <c r="L90" s="41" t="n">
        <f aca="false">IF(C90="F",D90-3,D90)</f>
        <v>43</v>
      </c>
      <c r="M90" s="41" t="n">
        <f aca="false">_xlfn.XLOOKUP(L90,'DGI TABLE'!$A$2:$A$91,'DGI TABLE'!$G$2:$G$91)/_xlfn.XLOOKUP(L90,'DGI TABLE'!$A$2:$A$91,'DGI TABLE'!$C$2:$C$91)</f>
        <v>0.310780012069358</v>
      </c>
      <c r="N90" s="41" t="n">
        <f aca="false">(_xlfn.XLOOKUP(L90,'DGI TABLE'!$A$2:$A$91,'DGI TABLE'!$D$2:$D$91)-_xlfn.XLOOKUP(L90+H90,'DGI TABLE'!$A$2:$A$91,'DGI TABLE'!$D$2:$D$91))/_xlfn.XLOOKUP(L90,'DGI TABLE'!$A$2:$A$91,'DGI TABLE'!$C$2:$C$91)</f>
        <v>13.4368683444876</v>
      </c>
      <c r="O90" s="41" t="n">
        <f aca="false">M90/N90</f>
        <v>0.0231289020701654</v>
      </c>
      <c r="P90" s="41" t="n">
        <f aca="false">_xlfn.XLOOKUP(L90+1,'DGI TABLE'!$A$2:$A$91,'DGI TABLE'!$G$2:$G$91)/_xlfn.XLOOKUP(L90+1,'DGI TABLE'!$A$2:$A$91,'DGI TABLE'!$C$2:$C$91)</f>
        <v>0.320840933775381</v>
      </c>
      <c r="Q90" s="41" t="n">
        <f aca="false">(_xlfn.XLOOKUP(L90+1,'DGI TABLE'!$A$2:$A$91,'DGI TABLE'!$D$2:$D$91)-_xlfn.XLOOKUP(L90+H90,'DGI TABLE'!$A$2:$A$91,'DGI TABLE'!$D$2:$D$91))/_xlfn.XLOOKUP(L90+1,'DGI TABLE'!$A$2:$A$91,'DGI TABLE'!$C$2:$C$91)</f>
        <v>12.9796416097284</v>
      </c>
      <c r="R90" s="41" t="n">
        <f aca="false">_xlfn.XLOOKUP(L90,'DGI TABLE'!$A$2:$A$91,'DGI TABLE'!$F$2:$F$91)/_xlfn.XLOOKUP(L90,'DGI TABLE'!$A$2:$A$91,'DGI TABLE'!$C$2:$C$91)</f>
        <v>0.00335576665055383</v>
      </c>
      <c r="S90" s="41" t="n">
        <f aca="false">P90/Q90</f>
        <v>0.0247187821838553</v>
      </c>
      <c r="T90" s="41" t="n">
        <f aca="false">O90+0.03/N90</f>
        <v>0.0253615651603197</v>
      </c>
      <c r="U90" s="41" t="n">
        <f aca="false">MIN(S90,T90)</f>
        <v>0.0247187821838553</v>
      </c>
      <c r="V90" s="41" t="n">
        <f aca="false">_xlfn.XLOOKUP(L90+K90,'DGI TABLE'!$A$2:$A$91,'DGI TABLE'!$G$2:$G$91)/_xlfn.XLOOKUP(L90+K90,'DGI TABLE'!$A$2:$A$91,'DGI TABLE'!$C$2:$C$91)</f>
        <v>0.341598557977591</v>
      </c>
      <c r="W90" s="41" t="n">
        <f aca="false">(_xlfn.XLOOKUP(L90+K90,'DGI TABLE'!$A$2:$A$91,'DGI TABLE'!$D$2:$D$91)-_xlfn.XLOOKUP(L90+H90,'DGI TABLE'!$A$2:$A$91,'DGI TABLE'!$D$2:$D$91))/_xlfn.XLOOKUP(L90+K90,'DGI TABLE'!$A$2:$A$91,'DGI TABLE'!$C$2:$C$91)</f>
        <v>12.0173503893883</v>
      </c>
      <c r="X90" s="41" t="n">
        <f aca="false">G90*((((1+J90)^(K90-1))*V90)-(U90*W90))</f>
        <v>3977.90717339682</v>
      </c>
      <c r="Y90" s="40"/>
    </row>
    <row r="91" customFormat="false" ht="14.25" hidden="false" customHeight="false" outlineLevel="0" collapsed="false">
      <c r="A91" s="41" t="n">
        <v>90</v>
      </c>
      <c r="B91" s="41" t="s">
        <v>156</v>
      </c>
      <c r="C91" s="41" t="s">
        <v>215</v>
      </c>
      <c r="D91" s="41" t="n">
        <v>37</v>
      </c>
      <c r="E91" s="41" t="s">
        <v>37</v>
      </c>
      <c r="F91" s="41" t="s">
        <v>220</v>
      </c>
      <c r="G91" s="41" t="n">
        <v>100000</v>
      </c>
      <c r="H91" s="41" t="n">
        <v>10</v>
      </c>
      <c r="I91" s="41" t="s">
        <v>218</v>
      </c>
      <c r="J91" s="41" t="n">
        <v>0.05</v>
      </c>
      <c r="K91" s="41" t="n">
        <v>9</v>
      </c>
      <c r="L91" s="41" t="n">
        <f aca="false">IF(C91="F",D91-3,D91)</f>
        <v>34</v>
      </c>
      <c r="M91" s="41" t="n">
        <f aca="false">_xlfn.XLOOKUP(L91,'DGI TABLE'!$A$2:$A$91,'DGI TABLE'!$G$2:$G$91)/_xlfn.XLOOKUP(L91,'DGI TABLE'!$A$2:$A$91,'DGI TABLE'!$C$2:$C$91)</f>
        <v>0.23138163315643</v>
      </c>
      <c r="N91" s="41" t="n">
        <f aca="false">(_xlfn.XLOOKUP(L91,'DGI TABLE'!$A$2:$A$91,'DGI TABLE'!$D$2:$D$91)-_xlfn.XLOOKUP(L91+H91,'DGI TABLE'!$A$2:$A$91,'DGI TABLE'!$D$2:$D$91))/_xlfn.XLOOKUP(L91,'DGI TABLE'!$A$2:$A$91,'DGI TABLE'!$C$2:$C$91)</f>
        <v>8.35689794574972</v>
      </c>
      <c r="O91" s="41" t="n">
        <f aca="false">M91/N91</f>
        <v>0.0276875025468164</v>
      </c>
      <c r="P91" s="41" t="n">
        <f aca="false">_xlfn.XLOOKUP(L91+1,'DGI TABLE'!$A$2:$A$91,'DGI TABLE'!$G$2:$G$91)/_xlfn.XLOOKUP(L91+1,'DGI TABLE'!$A$2:$A$91,'DGI TABLE'!$C$2:$C$91)</f>
        <v>0.239168490424031</v>
      </c>
      <c r="Q91" s="41" t="n">
        <f aca="false">(_xlfn.XLOOKUP(L91+1,'DGI TABLE'!$A$2:$A$91,'DGI TABLE'!$D$2:$D$91)-_xlfn.XLOOKUP(L91+H91,'DGI TABLE'!$A$2:$A$91,'DGI TABLE'!$D$2:$D$91))/_xlfn.XLOOKUP(L91+1,'DGI TABLE'!$A$2:$A$91,'DGI TABLE'!$C$2:$C$91)</f>
        <v>7.66596908574993</v>
      </c>
      <c r="R91" s="41" t="n">
        <f aca="false">_xlfn.XLOOKUP(L91,'DGI TABLE'!$A$2:$A$91,'DGI TABLE'!$F$2:$F$91)/_xlfn.XLOOKUP(L91,'DGI TABLE'!$A$2:$A$91,'DGI TABLE'!$C$2:$C$91)</f>
        <v>0.00185576940629135</v>
      </c>
      <c r="S91" s="41" t="n">
        <f aca="false">P91/Q91</f>
        <v>0.0311987287906776</v>
      </c>
      <c r="T91" s="41" t="n">
        <f aca="false">O91+0.03/N91</f>
        <v>0.0312773513393648</v>
      </c>
      <c r="U91" s="41" t="n">
        <f aca="false">MIN(S91,T91)</f>
        <v>0.0311987287906776</v>
      </c>
      <c r="V91" s="41" t="n">
        <f aca="false">_xlfn.XLOOKUP(L91+K91,'DGI TABLE'!$A$2:$A$91,'DGI TABLE'!$G$2:$G$91)/_xlfn.XLOOKUP(L91+K91,'DGI TABLE'!$A$2:$A$91,'DGI TABLE'!$C$2:$C$91)</f>
        <v>0.310780012069358</v>
      </c>
      <c r="W91" s="41" t="n">
        <f aca="false">(_xlfn.XLOOKUP(L91+K91,'DGI TABLE'!$A$2:$A$91,'DGI TABLE'!$D$2:$D$91)-_xlfn.XLOOKUP(L91+H91,'DGI TABLE'!$A$2:$A$91,'DGI TABLE'!$D$2:$D$91))/_xlfn.XLOOKUP(L91+K91,'DGI TABLE'!$A$2:$A$91,'DGI TABLE'!$C$2:$C$91)</f>
        <v>1</v>
      </c>
      <c r="X91" s="41" t="n">
        <f aca="false">G91*((((1+J91)^(K91-1))*V91)-(U91*W91))</f>
        <v>42796.4891862026</v>
      </c>
      <c r="Y91" s="40"/>
    </row>
    <row r="92" customFormat="false" ht="14.25" hidden="false" customHeight="false" outlineLevel="0" collapsed="false">
      <c r="A92" s="41" t="n">
        <v>91</v>
      </c>
      <c r="B92" s="41" t="s">
        <v>158</v>
      </c>
      <c r="C92" s="41" t="s">
        <v>215</v>
      </c>
      <c r="D92" s="41" t="n">
        <v>51</v>
      </c>
      <c r="E92" s="41" t="s">
        <v>37</v>
      </c>
      <c r="F92" s="41" t="s">
        <v>220</v>
      </c>
      <c r="G92" s="41" t="n">
        <v>120000</v>
      </c>
      <c r="H92" s="41" t="n">
        <v>5</v>
      </c>
      <c r="I92" s="41" t="s">
        <v>218</v>
      </c>
      <c r="J92" s="41" t="n">
        <v>0.05</v>
      </c>
      <c r="K92" s="41" t="n">
        <v>3</v>
      </c>
      <c r="L92" s="41" t="n">
        <f aca="false">IF(C92="F",D92-3,D92)</f>
        <v>48</v>
      </c>
      <c r="M92" s="41" t="n">
        <f aca="false">_xlfn.XLOOKUP(L92,'DGI TABLE'!$A$2:$A$91,'DGI TABLE'!$G$2:$G$91)/_xlfn.XLOOKUP(L92,'DGI TABLE'!$A$2:$A$91,'DGI TABLE'!$C$2:$C$91)</f>
        <v>0.363158251267419</v>
      </c>
      <c r="N92" s="41" t="n">
        <f aca="false">(_xlfn.XLOOKUP(L92,'DGI TABLE'!$A$2:$A$91,'DGI TABLE'!$D$2:$D$91)-_xlfn.XLOOKUP(L92+H92,'DGI TABLE'!$A$2:$A$91,'DGI TABLE'!$D$2:$D$91))/_xlfn.XLOOKUP(L92,'DGI TABLE'!$A$2:$A$91,'DGI TABLE'!$C$2:$C$91)</f>
        <v>4.57642817462005</v>
      </c>
      <c r="O92" s="41" t="n">
        <f aca="false">M92/N92</f>
        <v>0.0793540808269256</v>
      </c>
      <c r="P92" s="41" t="n">
        <f aca="false">_xlfn.XLOOKUP(L92+1,'DGI TABLE'!$A$2:$A$91,'DGI TABLE'!$G$2:$G$91)/_xlfn.XLOOKUP(L92+1,'DGI TABLE'!$A$2:$A$91,'DGI TABLE'!$C$2:$C$91)</f>
        <v>0.374230330834985</v>
      </c>
      <c r="Q92" s="41" t="n">
        <f aca="false">(_xlfn.XLOOKUP(L92+1,'DGI TABLE'!$A$2:$A$91,'DGI TABLE'!$D$2:$D$91)-_xlfn.XLOOKUP(L92+H92,'DGI TABLE'!$A$2:$A$91,'DGI TABLE'!$D$2:$D$91))/_xlfn.XLOOKUP(L92+1,'DGI TABLE'!$A$2:$A$91,'DGI TABLE'!$C$2:$C$91)</f>
        <v>3.74013088601208</v>
      </c>
      <c r="R92" s="41" t="n">
        <f aca="false">_xlfn.XLOOKUP(L92,'DGI TABLE'!$A$2:$A$91,'DGI TABLE'!$F$2:$F$91)/_xlfn.XLOOKUP(L92,'DGI TABLE'!$A$2:$A$91,'DGI TABLE'!$C$2:$C$91)</f>
        <v>0.00530769293563606</v>
      </c>
      <c r="S92" s="41" t="n">
        <f aca="false">P92/Q92</f>
        <v>0.100058084126037</v>
      </c>
      <c r="T92" s="41" t="n">
        <f aca="false">O92+0.03/N92</f>
        <v>0.0859094115030135</v>
      </c>
      <c r="U92" s="41" t="n">
        <f aca="false">MIN(S92,T92)</f>
        <v>0.0859094115030135</v>
      </c>
      <c r="V92" s="41" t="n">
        <f aca="false">_xlfn.XLOOKUP(L92+K92,'DGI TABLE'!$A$2:$A$91,'DGI TABLE'!$G$2:$G$91)/_xlfn.XLOOKUP(L92+K92,'DGI TABLE'!$A$2:$A$91,'DGI TABLE'!$C$2:$C$91)</f>
        <v>0.396933619755659</v>
      </c>
      <c r="W92" s="41" t="n">
        <f aca="false">(_xlfn.XLOOKUP(L92+K92,'DGI TABLE'!$A$2:$A$91,'DGI TABLE'!$D$2:$D$91)-_xlfn.XLOOKUP(L92+H92,'DGI TABLE'!$A$2:$A$91,'DGI TABLE'!$D$2:$D$91))/_xlfn.XLOOKUP(L92+K92,'DGI TABLE'!$A$2:$A$91,'DGI TABLE'!$C$2:$C$91)</f>
        <v>1.95460581275015</v>
      </c>
      <c r="X92" s="41" t="n">
        <f aca="false">G92*((((1+J92)^(K92-1))*V92)-(U92*W92))</f>
        <v>32364.0336824256</v>
      </c>
      <c r="Y92" s="40"/>
    </row>
    <row r="93" customFormat="false" ht="14.25" hidden="false" customHeight="false" outlineLevel="0" collapsed="false">
      <c r="A93" s="41" t="n">
        <v>92</v>
      </c>
      <c r="B93" s="41" t="s">
        <v>159</v>
      </c>
      <c r="C93" s="41" t="s">
        <v>217</v>
      </c>
      <c r="D93" s="41" t="n">
        <v>21</v>
      </c>
      <c r="E93" s="41" t="s">
        <v>37</v>
      </c>
      <c r="F93" s="41" t="s">
        <v>220</v>
      </c>
      <c r="G93" s="41" t="n">
        <v>75000</v>
      </c>
      <c r="H93" s="41" t="n">
        <v>10</v>
      </c>
      <c r="I93" s="41" t="s">
        <v>218</v>
      </c>
      <c r="J93" s="41" t="n">
        <v>0.05</v>
      </c>
      <c r="K93" s="41" t="n">
        <v>6</v>
      </c>
      <c r="L93" s="41" t="n">
        <f aca="false">IF(C93="F",D93-3,D93)</f>
        <v>21</v>
      </c>
      <c r="M93" s="41" t="n">
        <f aca="false">_xlfn.XLOOKUP(L93,'DGI TABLE'!$A$2:$A$91,'DGI TABLE'!$G$2:$G$91)/_xlfn.XLOOKUP(L93,'DGI TABLE'!$A$2:$A$91,'DGI TABLE'!$C$2:$C$91)</f>
        <v>0.154953329956246</v>
      </c>
      <c r="N93" s="41" t="n">
        <f aca="false">(_xlfn.XLOOKUP(L93,'DGI TABLE'!$A$2:$A$91,'DGI TABLE'!$D$2:$D$91)-_xlfn.XLOOKUP(L93+H93,'DGI TABLE'!$A$2:$A$91,'DGI TABLE'!$D$2:$D$91))/_xlfn.XLOOKUP(L93,'DGI TABLE'!$A$2:$A$91,'DGI TABLE'!$C$2:$C$91)</f>
        <v>8.36237667840904</v>
      </c>
      <c r="O93" s="41" t="n">
        <f aca="false">M93/N93</f>
        <v>0.0185298194419205</v>
      </c>
      <c r="P93" s="41" t="n">
        <f aca="false">_xlfn.XLOOKUP(L93+1,'DGI TABLE'!$A$2:$A$91,'DGI TABLE'!$G$2:$G$91)/_xlfn.XLOOKUP(L93+1,'DGI TABLE'!$A$2:$A$91,'DGI TABLE'!$C$2:$C$91)</f>
        <v>0.159411443818562</v>
      </c>
      <c r="Q93" s="41" t="n">
        <f aca="false">(_xlfn.XLOOKUP(L93+1,'DGI TABLE'!$A$2:$A$91,'DGI TABLE'!$D$2:$D$91)-_xlfn.XLOOKUP(L93+H93,'DGI TABLE'!$A$2:$A$91,'DGI TABLE'!$D$2:$D$91))/_xlfn.XLOOKUP(L93+1,'DGI TABLE'!$A$2:$A$91,'DGI TABLE'!$C$2:$C$91)</f>
        <v>7.67275432377116</v>
      </c>
      <c r="R93" s="41" t="n">
        <f aca="false">_xlfn.XLOOKUP(L93,'DGI TABLE'!$A$2:$A$91,'DGI TABLE'!$F$2:$F$91)/_xlfn.XLOOKUP(L93,'DGI TABLE'!$A$2:$A$91,'DGI TABLE'!$C$2:$C$91)</f>
        <v>0.00199038561834698</v>
      </c>
      <c r="S93" s="41" t="n">
        <f aca="false">P93/Q93</f>
        <v>0.0207762997603983</v>
      </c>
      <c r="T93" s="41" t="n">
        <f aca="false">O93+0.03/N93</f>
        <v>0.0221173162928406</v>
      </c>
      <c r="U93" s="41" t="n">
        <f aca="false">MIN(S93,T93)</f>
        <v>0.0207762997603983</v>
      </c>
      <c r="V93" s="41" t="n">
        <f aca="false">_xlfn.XLOOKUP(L93+K93,'DGI TABLE'!$A$2:$A$91,'DGI TABLE'!$G$2:$G$91)/_xlfn.XLOOKUP(L93+K93,'DGI TABLE'!$A$2:$A$91,'DGI TABLE'!$C$2:$C$91)</f>
        <v>0.184525693866612</v>
      </c>
      <c r="W93" s="41" t="n">
        <f aca="false">(_xlfn.XLOOKUP(L93+K93,'DGI TABLE'!$A$2:$A$91,'DGI TABLE'!$D$2:$D$91)-_xlfn.XLOOKUP(L93+H93,'DGI TABLE'!$A$2:$A$91,'DGI TABLE'!$D$2:$D$91))/_xlfn.XLOOKUP(L93+K93,'DGI TABLE'!$A$2:$A$91,'DGI TABLE'!$C$2:$C$91)</f>
        <v>3.76476617469875</v>
      </c>
      <c r="X93" s="41" t="n">
        <f aca="false">G93*((((1+J93)^(K93-1))*V93)-(U93*W93))</f>
        <v>11796.6622737095</v>
      </c>
      <c r="Y93" s="40"/>
    </row>
    <row r="94" customFormat="false" ht="14.25" hidden="false" customHeight="false" outlineLevel="0" collapsed="false">
      <c r="A94" s="41" t="n">
        <v>93</v>
      </c>
      <c r="B94" s="41" t="s">
        <v>162</v>
      </c>
      <c r="C94" s="41" t="s">
        <v>215</v>
      </c>
      <c r="D94" s="41" t="n">
        <v>48</v>
      </c>
      <c r="E94" s="41" t="s">
        <v>37</v>
      </c>
      <c r="F94" s="41" t="s">
        <v>220</v>
      </c>
      <c r="G94" s="41" t="n">
        <v>200000</v>
      </c>
      <c r="H94" s="41" t="n">
        <v>5</v>
      </c>
      <c r="I94" s="41" t="s">
        <v>218</v>
      </c>
      <c r="J94" s="41" t="n">
        <v>0.05</v>
      </c>
      <c r="K94" s="41" t="n">
        <v>3</v>
      </c>
      <c r="L94" s="41" t="n">
        <f aca="false">IF(C94="F",D94-3,D94)</f>
        <v>45</v>
      </c>
      <c r="M94" s="41" t="n">
        <f aca="false">_xlfn.XLOOKUP(L94,'DGI TABLE'!$A$2:$A$91,'DGI TABLE'!$G$2:$G$91)/_xlfn.XLOOKUP(L94,'DGI TABLE'!$A$2:$A$91,'DGI TABLE'!$C$2:$C$91)</f>
        <v>0.331112736744351</v>
      </c>
      <c r="N94" s="41" t="n">
        <f aca="false">(_xlfn.XLOOKUP(L94,'DGI TABLE'!$A$2:$A$91,'DGI TABLE'!$D$2:$D$91)-_xlfn.XLOOKUP(L94+H94,'DGI TABLE'!$A$2:$A$91,'DGI TABLE'!$D$2:$D$91))/_xlfn.XLOOKUP(L94,'DGI TABLE'!$A$2:$A$91,'DGI TABLE'!$C$2:$C$91)</f>
        <v>4.58908039049351</v>
      </c>
      <c r="O94" s="41" t="n">
        <f aca="false">M94/N94</f>
        <v>0.0721523069045087</v>
      </c>
      <c r="P94" s="41" t="n">
        <f aca="false">_xlfn.XLOOKUP(L94+1,'DGI TABLE'!$A$2:$A$91,'DGI TABLE'!$G$2:$G$91)/_xlfn.XLOOKUP(L94+1,'DGI TABLE'!$A$2:$A$91,'DGI TABLE'!$C$2:$C$91)</f>
        <v>0.341598557977591</v>
      </c>
      <c r="Q94" s="41" t="n">
        <f aca="false">(_xlfn.XLOOKUP(L94+1,'DGI TABLE'!$A$2:$A$91,'DGI TABLE'!$D$2:$D$91)-_xlfn.XLOOKUP(L94+H94,'DGI TABLE'!$A$2:$A$91,'DGI TABLE'!$D$2:$D$91))/_xlfn.XLOOKUP(L94+1,'DGI TABLE'!$A$2:$A$91,'DGI TABLE'!$C$2:$C$91)</f>
        <v>3.74834936010288</v>
      </c>
      <c r="R94" s="41" t="n">
        <f aca="false">_xlfn.XLOOKUP(L94,'DGI TABLE'!$A$2:$A$91,'DGI TABLE'!$F$2:$F$91)/_xlfn.XLOOKUP(L94,'DGI TABLE'!$A$2:$A$91,'DGI TABLE'!$C$2:$C$91)</f>
        <v>0.00402884779100551</v>
      </c>
      <c r="S94" s="41" t="n">
        <f aca="false">P94/Q94</f>
        <v>0.0911330628925728</v>
      </c>
      <c r="T94" s="41" t="n">
        <f aca="false">O94+0.03/N94</f>
        <v>0.0786895643607403</v>
      </c>
      <c r="U94" s="41" t="n">
        <f aca="false">MIN(S94,T94)</f>
        <v>0.0786895643607403</v>
      </c>
      <c r="V94" s="41" t="n">
        <f aca="false">_xlfn.XLOOKUP(L94+K94,'DGI TABLE'!$A$2:$A$91,'DGI TABLE'!$G$2:$G$91)/_xlfn.XLOOKUP(L94+K94,'DGI TABLE'!$A$2:$A$91,'DGI TABLE'!$C$2:$C$91)</f>
        <v>0.363158251267419</v>
      </c>
      <c r="W94" s="41" t="n">
        <f aca="false">(_xlfn.XLOOKUP(L94+K94,'DGI TABLE'!$A$2:$A$91,'DGI TABLE'!$D$2:$D$91)-_xlfn.XLOOKUP(L94+H94,'DGI TABLE'!$A$2:$A$91,'DGI TABLE'!$D$2:$D$91))/_xlfn.XLOOKUP(L94+K94,'DGI TABLE'!$A$2:$A$91,'DGI TABLE'!$C$2:$C$91)</f>
        <v>1.956230700851</v>
      </c>
      <c r="X94" s="41" t="n">
        <f aca="false">G94*((((1+J94)^(K94-1))*V94)-(U94*W94))</f>
        <v>49289.4060766518</v>
      </c>
      <c r="Y94" s="40"/>
    </row>
    <row r="95" customFormat="false" ht="14.25" hidden="false" customHeight="false" outlineLevel="0" collapsed="false">
      <c r="A95" s="41" t="n">
        <v>94</v>
      </c>
      <c r="B95" s="41" t="s">
        <v>164</v>
      </c>
      <c r="C95" s="41" t="s">
        <v>215</v>
      </c>
      <c r="D95" s="41" t="n">
        <v>56</v>
      </c>
      <c r="E95" s="41" t="s">
        <v>37</v>
      </c>
      <c r="F95" s="41" t="s">
        <v>220</v>
      </c>
      <c r="G95" s="41" t="n">
        <v>80000</v>
      </c>
      <c r="H95" s="41" t="n">
        <v>25</v>
      </c>
      <c r="I95" s="41" t="s">
        <v>218</v>
      </c>
      <c r="J95" s="41" t="n">
        <v>0.05</v>
      </c>
      <c r="K95" s="41" t="n">
        <v>5</v>
      </c>
      <c r="L95" s="41" t="n">
        <f aca="false">IF(C95="F",D95-3,D95)</f>
        <v>53</v>
      </c>
      <c r="M95" s="41" t="n">
        <f aca="false">_xlfn.XLOOKUP(L95,'DGI TABLE'!$A$2:$A$91,'DGI TABLE'!$G$2:$G$91)/_xlfn.XLOOKUP(L95,'DGI TABLE'!$A$2:$A$91,'DGI TABLE'!$C$2:$C$91)</f>
        <v>0.420308883501613</v>
      </c>
      <c r="N95" s="41" t="n">
        <f aca="false">(_xlfn.XLOOKUP(L95,'DGI TABLE'!$A$2:$A$91,'DGI TABLE'!$D$2:$D$91)-_xlfn.XLOOKUP(L95+H95,'DGI TABLE'!$A$2:$A$91,'DGI TABLE'!$D$2:$D$91))/_xlfn.XLOOKUP(L95,'DGI TABLE'!$A$2:$A$91,'DGI TABLE'!$C$2:$C$91)</f>
        <v>13.8426863764942</v>
      </c>
      <c r="O95" s="41" t="n">
        <f aca="false">M95/N95</f>
        <v>0.0303632454041092</v>
      </c>
      <c r="P95" s="41" t="n">
        <f aca="false">_xlfn.XLOOKUP(L95+1,'DGI TABLE'!$A$2:$A$91,'DGI TABLE'!$G$2:$G$91)/_xlfn.XLOOKUP(L95+1,'DGI TABLE'!$A$2:$A$91,'DGI TABLE'!$C$2:$C$91)</f>
        <v>0.43220414086274</v>
      </c>
      <c r="Q95" s="41" t="n">
        <f aca="false">(_xlfn.XLOOKUP(L95+1,'DGI TABLE'!$A$2:$A$91,'DGI TABLE'!$D$2:$D$91)-_xlfn.XLOOKUP(L95+H95,'DGI TABLE'!$A$2:$A$91,'DGI TABLE'!$D$2:$D$91))/_xlfn.XLOOKUP(L95+1,'DGI TABLE'!$A$2:$A$91,'DGI TABLE'!$C$2:$C$91)</f>
        <v>13.4730711811308</v>
      </c>
      <c r="R95" s="41" t="n">
        <f aca="false">_xlfn.XLOOKUP(L95,'DGI TABLE'!$A$2:$A$91,'DGI TABLE'!$F$2:$F$91)/_xlfn.XLOOKUP(L95,'DGI TABLE'!$A$2:$A$91,'DGI TABLE'!$C$2:$C$91)</f>
        <v>0.00832692652241366</v>
      </c>
      <c r="S95" s="41" t="n">
        <f aca="false">P95/Q95</f>
        <v>0.0320791106238679</v>
      </c>
      <c r="T95" s="41" t="n">
        <f aca="false">O95+0.03/N95</f>
        <v>0.0325304548014804</v>
      </c>
      <c r="U95" s="41" t="n">
        <f aca="false">MIN(S95,T95)</f>
        <v>0.0320791106238679</v>
      </c>
      <c r="V95" s="41" t="n">
        <f aca="false">_xlfn.XLOOKUP(L95+K95,'DGI TABLE'!$A$2:$A$91,'DGI TABLE'!$G$2:$G$91)/_xlfn.XLOOKUP(L95+K95,'DGI TABLE'!$A$2:$A$91,'DGI TABLE'!$C$2:$C$91)</f>
        <v>0.481152026728655</v>
      </c>
      <c r="W95" s="41" t="n">
        <f aca="false">(_xlfn.XLOOKUP(L95+K95,'DGI TABLE'!$A$2:$A$91,'DGI TABLE'!$D$2:$D$91)-_xlfn.XLOOKUP(L95+H95,'DGI TABLE'!$A$2:$A$91,'DGI TABLE'!$D$2:$D$91))/_xlfn.XLOOKUP(L95+K95,'DGI TABLE'!$A$2:$A$91,'DGI TABLE'!$C$2:$C$91)</f>
        <v>11.9145374581571</v>
      </c>
      <c r="X95" s="41" t="n">
        <f aca="false">G95*((((1+J95)^(K95-1))*V95)-(U95*W95))</f>
        <v>16210.8424429126</v>
      </c>
      <c r="Y95" s="40"/>
    </row>
    <row r="96" customFormat="false" ht="14.25" hidden="false" customHeight="false" outlineLevel="0" collapsed="false">
      <c r="A96" s="41" t="n">
        <v>95</v>
      </c>
      <c r="B96" s="41" t="s">
        <v>167</v>
      </c>
      <c r="C96" s="41" t="s">
        <v>217</v>
      </c>
      <c r="D96" s="41" t="n">
        <v>33</v>
      </c>
      <c r="E96" s="41" t="s">
        <v>37</v>
      </c>
      <c r="F96" s="41" t="s">
        <v>220</v>
      </c>
      <c r="G96" s="41" t="n">
        <v>150000</v>
      </c>
      <c r="H96" s="41" t="n">
        <v>5</v>
      </c>
      <c r="I96" s="41" t="s">
        <v>218</v>
      </c>
      <c r="J96" s="41" t="n">
        <v>0.05</v>
      </c>
      <c r="K96" s="41" t="n">
        <v>4</v>
      </c>
      <c r="L96" s="41" t="n">
        <f aca="false">IF(C96="F",D96-3,D96)</f>
        <v>33</v>
      </c>
      <c r="M96" s="41" t="n">
        <f aca="false">_xlfn.XLOOKUP(L96,'DGI TABLE'!$A$2:$A$91,'DGI TABLE'!$G$2:$G$91)/_xlfn.XLOOKUP(L96,'DGI TABLE'!$A$2:$A$91,'DGI TABLE'!$C$2:$C$91)</f>
        <v>0.223849596257388</v>
      </c>
      <c r="N96" s="41" t="n">
        <f aca="false">(_xlfn.XLOOKUP(L96,'DGI TABLE'!$A$2:$A$91,'DGI TABLE'!$D$2:$D$91)-_xlfn.XLOOKUP(L96+H96,'DGI TABLE'!$A$2:$A$91,'DGI TABLE'!$D$2:$D$91))/_xlfn.XLOOKUP(L96,'DGI TABLE'!$A$2:$A$91,'DGI TABLE'!$C$2:$C$91)</f>
        <v>4.61271169290669</v>
      </c>
      <c r="O96" s="41" t="n">
        <f aca="false">M96/N96</f>
        <v>0.0485288505244363</v>
      </c>
      <c r="P96" s="41" t="n">
        <f aca="false">_xlfn.XLOOKUP(L96+1,'DGI TABLE'!$A$2:$A$91,'DGI TABLE'!$G$2:$G$91)/_xlfn.XLOOKUP(L96+1,'DGI TABLE'!$A$2:$A$91,'DGI TABLE'!$C$2:$C$91)</f>
        <v>0.23138163315643</v>
      </c>
      <c r="Q96" s="41" t="n">
        <f aca="false">(_xlfn.XLOOKUP(L96+1,'DGI TABLE'!$A$2:$A$91,'DGI TABLE'!$D$2:$D$91)-_xlfn.XLOOKUP(L96+H96,'DGI TABLE'!$A$2:$A$91,'DGI TABLE'!$D$2:$D$91))/_xlfn.XLOOKUP(L96+1,'DGI TABLE'!$A$2:$A$91,'DGI TABLE'!$C$2:$C$91)</f>
        <v>3.76418385873975</v>
      </c>
      <c r="R96" s="41" t="n">
        <f aca="false">_xlfn.XLOOKUP(L96,'DGI TABLE'!$A$2:$A$91,'DGI TABLE'!$F$2:$F$91)/_xlfn.XLOOKUP(L96,'DGI TABLE'!$A$2:$A$91,'DGI TABLE'!$C$2:$C$91)</f>
        <v>0.0017788465284026</v>
      </c>
      <c r="S96" s="41" t="n">
        <f aca="false">P96/Q96</f>
        <v>0.0614692697911672</v>
      </c>
      <c r="T96" s="41" t="n">
        <f aca="false">O96+0.03/N96</f>
        <v>0.0550326170715919</v>
      </c>
      <c r="U96" s="41" t="n">
        <f aca="false">MIN(S96,T96)</f>
        <v>0.0550326170715919</v>
      </c>
      <c r="V96" s="41" t="n">
        <f aca="false">_xlfn.XLOOKUP(L96+K96,'DGI TABLE'!$A$2:$A$91,'DGI TABLE'!$G$2:$G$91)/_xlfn.XLOOKUP(L96+K96,'DGI TABLE'!$A$2:$A$91,'DGI TABLE'!$C$2:$C$91)</f>
        <v>0.255509982902637</v>
      </c>
      <c r="W96" s="41" t="n">
        <f aca="false">(_xlfn.XLOOKUP(L96+K96,'DGI TABLE'!$A$2:$A$91,'DGI TABLE'!$D$2:$D$91)-_xlfn.XLOOKUP(L96+H96,'DGI TABLE'!$A$2:$A$91,'DGI TABLE'!$D$2:$D$91))/_xlfn.XLOOKUP(L96+K96,'DGI TABLE'!$A$2:$A$91,'DGI TABLE'!$C$2:$C$91)</f>
        <v>1</v>
      </c>
      <c r="X96" s="41" t="n">
        <f aca="false">G96*((((1+J96)^(K96-1))*V96)-(U96*W96))</f>
        <v>36112.8190329109</v>
      </c>
      <c r="Y96" s="40"/>
    </row>
    <row r="97" customFormat="false" ht="14.25" hidden="false" customHeight="false" outlineLevel="0" collapsed="false">
      <c r="A97" s="41" t="n">
        <v>96</v>
      </c>
      <c r="B97" s="41" t="s">
        <v>179</v>
      </c>
      <c r="C97" s="41" t="s">
        <v>217</v>
      </c>
      <c r="D97" s="41" t="n">
        <v>24</v>
      </c>
      <c r="E97" s="41" t="s">
        <v>37</v>
      </c>
      <c r="F97" s="41" t="s">
        <v>220</v>
      </c>
      <c r="G97" s="41" t="n">
        <v>150000</v>
      </c>
      <c r="H97" s="41" t="n">
        <v>25</v>
      </c>
      <c r="I97" s="41" t="s">
        <v>218</v>
      </c>
      <c r="J97" s="41" t="n">
        <v>0.05</v>
      </c>
      <c r="K97" s="41" t="n">
        <v>9</v>
      </c>
      <c r="L97" s="41" t="n">
        <f aca="false">IF(C97="F",D97-3,D97)</f>
        <v>24</v>
      </c>
      <c r="M97" s="41" t="n">
        <f aca="false">_xlfn.XLOOKUP(L97,'DGI TABLE'!$A$2:$A$91,'DGI TABLE'!$G$2:$G$91)/_xlfn.XLOOKUP(L97,'DGI TABLE'!$A$2:$A$91,'DGI TABLE'!$C$2:$C$91)</f>
        <v>0.168703020882262</v>
      </c>
      <c r="N97" s="41" t="n">
        <f aca="false">(_xlfn.XLOOKUP(L97,'DGI TABLE'!$A$2:$A$91,'DGI TABLE'!$D$2:$D$91)-_xlfn.XLOOKUP(L97+H97,'DGI TABLE'!$A$2:$A$91,'DGI TABLE'!$D$2:$D$91))/_xlfn.XLOOKUP(L97,'DGI TABLE'!$A$2:$A$91,'DGI TABLE'!$C$2:$C$91)</f>
        <v>15.9108556972485</v>
      </c>
      <c r="O97" s="41" t="n">
        <f aca="false">M97/N97</f>
        <v>0.0106030136965818</v>
      </c>
      <c r="P97" s="41" t="n">
        <f aca="false">_xlfn.XLOOKUP(L97+1,'DGI TABLE'!$A$2:$A$91,'DGI TABLE'!$G$2:$G$91)/_xlfn.XLOOKUP(L97+1,'DGI TABLE'!$A$2:$A$91,'DGI TABLE'!$C$2:$C$91)</f>
        <v>0.173707662389912</v>
      </c>
      <c r="Q97" s="41" t="n">
        <f aca="false">(_xlfn.XLOOKUP(L97+1,'DGI TABLE'!$A$2:$A$91,'DGI TABLE'!$D$2:$D$91)-_xlfn.XLOOKUP(L97+H97,'DGI TABLE'!$A$2:$A$91,'DGI TABLE'!$D$2:$D$91))/_xlfn.XLOOKUP(L97+1,'DGI TABLE'!$A$2:$A$91,'DGI TABLE'!$C$2:$C$91)</f>
        <v>15.5400793657633</v>
      </c>
      <c r="R97" s="41" t="n">
        <f aca="false">_xlfn.XLOOKUP(L97,'DGI TABLE'!$A$2:$A$91,'DGI TABLE'!$F$2:$F$91)/_xlfn.XLOOKUP(L97,'DGI TABLE'!$A$2:$A$91,'DGI TABLE'!$C$2:$C$91)</f>
        <v>0.00202884718989848</v>
      </c>
      <c r="S97" s="41" t="n">
        <f aca="false">P97/Q97</f>
        <v>0.0111780421644829</v>
      </c>
      <c r="T97" s="41" t="n">
        <f aca="false">O97+0.03/N97</f>
        <v>0.0124885188240771</v>
      </c>
      <c r="U97" s="41" t="n">
        <f aca="false">MIN(S97,T97)</f>
        <v>0.0111780421644829</v>
      </c>
      <c r="V97" s="41" t="n">
        <f aca="false">_xlfn.XLOOKUP(L97+K97,'DGI TABLE'!$A$2:$A$91,'DGI TABLE'!$G$2:$G$91)/_xlfn.XLOOKUP(L97+K97,'DGI TABLE'!$A$2:$A$91,'DGI TABLE'!$C$2:$C$91)</f>
        <v>0.223849596257388</v>
      </c>
      <c r="W97" s="41" t="n">
        <f aca="false">(_xlfn.XLOOKUP(L97+K97,'DGI TABLE'!$A$2:$A$91,'DGI TABLE'!$D$2:$D$91)-_xlfn.XLOOKUP(L97+H97,'DGI TABLE'!$A$2:$A$91,'DGI TABLE'!$D$2:$D$91))/_xlfn.XLOOKUP(L97+K97,'DGI TABLE'!$A$2:$A$91,'DGI TABLE'!$C$2:$C$91)</f>
        <v>11.9229912391796</v>
      </c>
      <c r="X97" s="41" t="n">
        <f aca="false">G97*((((1+J97)^(K97-1))*V97)-(U97*W97))</f>
        <v>29617.8158673228</v>
      </c>
      <c r="Y97" s="40"/>
    </row>
    <row r="98" customFormat="false" ht="14.25" hidden="false" customHeight="false" outlineLevel="0" collapsed="false">
      <c r="A98" s="41" t="n">
        <v>97</v>
      </c>
      <c r="B98" s="41" t="s">
        <v>180</v>
      </c>
      <c r="C98" s="41" t="s">
        <v>215</v>
      </c>
      <c r="D98" s="41" t="n">
        <v>29</v>
      </c>
      <c r="E98" s="41" t="s">
        <v>37</v>
      </c>
      <c r="F98" s="41" t="s">
        <v>220</v>
      </c>
      <c r="G98" s="41" t="n">
        <v>120000</v>
      </c>
      <c r="H98" s="41" t="n">
        <v>25</v>
      </c>
      <c r="I98" s="41" t="s">
        <v>218</v>
      </c>
      <c r="J98" s="41" t="n">
        <v>0.05</v>
      </c>
      <c r="K98" s="41" t="n">
        <v>8</v>
      </c>
      <c r="L98" s="41" t="n">
        <f aca="false">IF(C98="F",D98-3,D98)</f>
        <v>26</v>
      </c>
      <c r="M98" s="41" t="n">
        <f aca="false">_xlfn.XLOOKUP(L98,'DGI TABLE'!$A$2:$A$91,'DGI TABLE'!$G$2:$G$91)/_xlfn.XLOOKUP(L98,'DGI TABLE'!$A$2:$A$91,'DGI TABLE'!$C$2:$C$91)</f>
        <v>0.178981092349833</v>
      </c>
      <c r="N98" s="41" t="n">
        <f aca="false">(_xlfn.XLOOKUP(L98,'DGI TABLE'!$A$2:$A$91,'DGI TABLE'!$D$2:$D$91)-_xlfn.XLOOKUP(L98+H98,'DGI TABLE'!$A$2:$A$91,'DGI TABLE'!$D$2:$D$91))/_xlfn.XLOOKUP(L98,'DGI TABLE'!$A$2:$A$91,'DGI TABLE'!$C$2:$C$91)</f>
        <v>15.8971327940059</v>
      </c>
      <c r="O98" s="41" t="n">
        <f aca="false">M98/N98</f>
        <v>0.0112587027276591</v>
      </c>
      <c r="P98" s="41" t="n">
        <f aca="false">_xlfn.XLOOKUP(L98+1,'DGI TABLE'!$A$2:$A$91,'DGI TABLE'!$G$2:$G$91)/_xlfn.XLOOKUP(L98+1,'DGI TABLE'!$A$2:$A$91,'DGI TABLE'!$C$2:$C$91)</f>
        <v>0.184525693866612</v>
      </c>
      <c r="Q98" s="41" t="n">
        <f aca="false">(_xlfn.XLOOKUP(L98+1,'DGI TABLE'!$A$2:$A$91,'DGI TABLE'!$D$2:$D$91)-_xlfn.XLOOKUP(L98+H98,'DGI TABLE'!$A$2:$A$91,'DGI TABLE'!$D$2:$D$91))/_xlfn.XLOOKUP(L98+1,'DGI TABLE'!$A$2:$A$91,'DGI TABLE'!$C$2:$C$91)</f>
        <v>15.5237549736751</v>
      </c>
      <c r="R98" s="41" t="n">
        <f aca="false">_xlfn.XLOOKUP(L98,'DGI TABLE'!$A$2:$A$91,'DGI TABLE'!$F$2:$F$91)/_xlfn.XLOOKUP(L98,'DGI TABLE'!$A$2:$A$91,'DGI TABLE'!$C$2:$C$91)</f>
        <v>0.00190384751841136</v>
      </c>
      <c r="S98" s="41" t="n">
        <f aca="false">P98/Q98</f>
        <v>0.0118866662208678</v>
      </c>
      <c r="T98" s="41" t="n">
        <f aca="false">O98+0.03/N98</f>
        <v>0.013145835482272</v>
      </c>
      <c r="U98" s="41" t="n">
        <f aca="false">MIN(S98,T98)</f>
        <v>0.0118866662208678</v>
      </c>
      <c r="V98" s="41" t="n">
        <f aca="false">_xlfn.XLOOKUP(L98+K98,'DGI TABLE'!$A$2:$A$91,'DGI TABLE'!$G$2:$G$91)/_xlfn.XLOOKUP(L98+K98,'DGI TABLE'!$A$2:$A$91,'DGI TABLE'!$C$2:$C$91)</f>
        <v>0.23138163315643</v>
      </c>
      <c r="W98" s="41" t="n">
        <f aca="false">(_xlfn.XLOOKUP(L98+K98,'DGI TABLE'!$A$2:$A$91,'DGI TABLE'!$D$2:$D$91)-_xlfn.XLOOKUP(L98+H98,'DGI TABLE'!$A$2:$A$91,'DGI TABLE'!$D$2:$D$91))/_xlfn.XLOOKUP(L98+K98,'DGI TABLE'!$A$2:$A$91,'DGI TABLE'!$C$2:$C$91)</f>
        <v>12.4151045743733</v>
      </c>
      <c r="X98" s="41" t="n">
        <f aca="false">G98*((((1+J98)^(K98-1))*V98)-(U98*W98))</f>
        <v>21360.3587563875</v>
      </c>
      <c r="Y98" s="40"/>
    </row>
    <row r="99" customFormat="false" ht="14.25" hidden="false" customHeight="false" outlineLevel="0" collapsed="false">
      <c r="A99" s="41" t="n">
        <v>98</v>
      </c>
      <c r="B99" s="41" t="s">
        <v>184</v>
      </c>
      <c r="C99" s="41" t="s">
        <v>215</v>
      </c>
      <c r="D99" s="41" t="n">
        <v>51</v>
      </c>
      <c r="E99" s="41" t="s">
        <v>37</v>
      </c>
      <c r="F99" s="41" t="s">
        <v>220</v>
      </c>
      <c r="G99" s="41" t="n">
        <v>80000</v>
      </c>
      <c r="H99" s="41" t="n">
        <v>25</v>
      </c>
      <c r="I99" s="41" t="s">
        <v>218</v>
      </c>
      <c r="J99" s="41" t="n">
        <v>0.05</v>
      </c>
      <c r="K99" s="41" t="n">
        <v>4</v>
      </c>
      <c r="L99" s="41" t="n">
        <f aca="false">IF(C99="F",D99-3,D99)</f>
        <v>48</v>
      </c>
      <c r="M99" s="41" t="n">
        <f aca="false">_xlfn.XLOOKUP(L99,'DGI TABLE'!$A$2:$A$91,'DGI TABLE'!$G$2:$G$91)/_xlfn.XLOOKUP(L99,'DGI TABLE'!$A$2:$A$91,'DGI TABLE'!$C$2:$C$91)</f>
        <v>0.363158251267419</v>
      </c>
      <c r="N99" s="41" t="n">
        <f aca="false">(_xlfn.XLOOKUP(L99,'DGI TABLE'!$A$2:$A$91,'DGI TABLE'!$D$2:$D$91)-_xlfn.XLOOKUP(L99+H99,'DGI TABLE'!$A$2:$A$91,'DGI TABLE'!$D$2:$D$91))/_xlfn.XLOOKUP(L99,'DGI TABLE'!$A$2:$A$91,'DGI TABLE'!$C$2:$C$91)</f>
        <v>14.5918689975807</v>
      </c>
      <c r="O99" s="41" t="n">
        <f aca="false">M99/N99</f>
        <v>0.0248877132413696</v>
      </c>
      <c r="P99" s="41" t="n">
        <f aca="false">_xlfn.XLOOKUP(L99+1,'DGI TABLE'!$A$2:$A$91,'DGI TABLE'!$G$2:$G$91)/_xlfn.XLOOKUP(L99+1,'DGI TABLE'!$A$2:$A$91,'DGI TABLE'!$C$2:$C$91)</f>
        <v>0.374230330834985</v>
      </c>
      <c r="Q99" s="41" t="n">
        <f aca="false">(_xlfn.XLOOKUP(L99+1,'DGI TABLE'!$A$2:$A$91,'DGI TABLE'!$D$2:$D$91)-_xlfn.XLOOKUP(L99+H99,'DGI TABLE'!$A$2:$A$91,'DGI TABLE'!$D$2:$D$91))/_xlfn.XLOOKUP(L99+1,'DGI TABLE'!$A$2:$A$91,'DGI TABLE'!$C$2:$C$91)</f>
        <v>14.2140050923497</v>
      </c>
      <c r="R99" s="41" t="n">
        <f aca="false">_xlfn.XLOOKUP(L99,'DGI TABLE'!$A$2:$A$91,'DGI TABLE'!$F$2:$F$91)/_xlfn.XLOOKUP(L99,'DGI TABLE'!$A$2:$A$91,'DGI TABLE'!$C$2:$C$91)</f>
        <v>0.00530769293563606</v>
      </c>
      <c r="S99" s="41" t="n">
        <f aca="false">P99/Q99</f>
        <v>0.0263282817477254</v>
      </c>
      <c r="T99" s="41" t="n">
        <f aca="false">O99+0.03/N99</f>
        <v>0.0269436527515841</v>
      </c>
      <c r="U99" s="41" t="n">
        <f aca="false">MIN(S99,T99)</f>
        <v>0.0263282817477254</v>
      </c>
      <c r="V99" s="41" t="n">
        <f aca="false">_xlfn.XLOOKUP(L99+K99,'DGI TABLE'!$A$2:$A$91,'DGI TABLE'!$G$2:$G$91)/_xlfn.XLOOKUP(L99+K99,'DGI TABLE'!$A$2:$A$91,'DGI TABLE'!$C$2:$C$91)</f>
        <v>0.408546562815844</v>
      </c>
      <c r="W99" s="41" t="n">
        <f aca="false">(_xlfn.XLOOKUP(L99+K99,'DGI TABLE'!$A$2:$A$91,'DGI TABLE'!$D$2:$D$91)-_xlfn.XLOOKUP(L99+H99,'DGI TABLE'!$A$2:$A$91,'DGI TABLE'!$D$2:$D$91))/_xlfn.XLOOKUP(L99+K99,'DGI TABLE'!$A$2:$A$91,'DGI TABLE'!$C$2:$C$91)</f>
        <v>13.0185629822035</v>
      </c>
      <c r="X99" s="41" t="n">
        <f aca="false">G99*((((1+J99)^(K99-1))*V99)-(U99*W99))</f>
        <v>10414.9856506984</v>
      </c>
      <c r="Y99" s="40"/>
    </row>
    <row r="100" customFormat="false" ht="14.25" hidden="false" customHeight="false" outlineLevel="0" collapsed="false">
      <c r="A100" s="41" t="n">
        <v>99</v>
      </c>
      <c r="B100" s="41" t="s">
        <v>86</v>
      </c>
      <c r="C100" s="41" t="s">
        <v>215</v>
      </c>
      <c r="D100" s="41" t="n">
        <v>49</v>
      </c>
      <c r="E100" s="41" t="s">
        <v>36</v>
      </c>
      <c r="F100" s="41" t="s">
        <v>220</v>
      </c>
      <c r="G100" s="41" t="n">
        <v>175000</v>
      </c>
      <c r="H100" s="41" t="n">
        <v>10</v>
      </c>
      <c r="I100" s="41" t="s">
        <v>219</v>
      </c>
      <c r="J100" s="41" t="n">
        <v>0.05</v>
      </c>
      <c r="K100" s="41" t="n">
        <v>7</v>
      </c>
      <c r="L100" s="41" t="n">
        <f aca="false">IF(C100="F",D100-3,D100)</f>
        <v>46</v>
      </c>
      <c r="M100" s="41" t="n">
        <f aca="false">_xlfn.XLOOKUP(L100,'DGI TABLE'!$A$2:$A$91,'DGI TABLE'!$G$2:$G$91)/_xlfn.XLOOKUP(L100,'DGI TABLE'!$A$2:$A$91,'DGI TABLE'!$C$2:$C$91)</f>
        <v>0.341598557977591</v>
      </c>
      <c r="N100" s="41" t="n">
        <f aca="false">(_xlfn.XLOOKUP(L100,'DGI TABLE'!$A$2:$A$91,'DGI TABLE'!$D$2:$D$91)-_xlfn.XLOOKUP(L100+H100,'DGI TABLE'!$A$2:$A$91,'DGI TABLE'!$D$2:$D$91))/_xlfn.XLOOKUP(L100,'DGI TABLE'!$A$2:$A$91,'DGI TABLE'!$C$2:$C$91)</f>
        <v>8.23013681798041</v>
      </c>
      <c r="O100" s="41" t="n">
        <f aca="false">M100/N100</f>
        <v>0.0415058176470772</v>
      </c>
      <c r="P100" s="41" t="n">
        <f aca="false">_xlfn.XLOOKUP(L100+1,'DGI TABLE'!$A$2:$A$91,'DGI TABLE'!$G$2:$G$91)/_xlfn.XLOOKUP(L100+1,'DGI TABLE'!$A$2:$A$91,'DGI TABLE'!$C$2:$C$91)</f>
        <v>0.352282989126079</v>
      </c>
      <c r="Q100" s="41" t="n">
        <f aca="false">(_xlfn.XLOOKUP(L100+1,'DGI TABLE'!$A$2:$A$91,'DGI TABLE'!$D$2:$D$91)-_xlfn.XLOOKUP(L100+H100,'DGI TABLE'!$A$2:$A$91,'DGI TABLE'!$D$2:$D$91))/_xlfn.XLOOKUP(L100+1,'DGI TABLE'!$A$2:$A$91,'DGI TABLE'!$C$2:$C$91)</f>
        <v>7.55409078796025</v>
      </c>
      <c r="R100" s="41" t="n">
        <f aca="false">_xlfn.XLOOKUP(L100,'DGI TABLE'!$A$2:$A$91,'DGI TABLE'!$F$2:$F$91)/_xlfn.XLOOKUP(L100,'DGI TABLE'!$A$2:$A$91,'DGI TABLE'!$C$2:$C$91)</f>
        <v>0.00442307498125741</v>
      </c>
      <c r="S100" s="41" t="n">
        <f aca="false">P100/Q100</f>
        <v>0.0466347306399268</v>
      </c>
      <c r="T100" s="41" t="n">
        <f aca="false">O100+0.03/N100</f>
        <v>0.0451509575352087</v>
      </c>
      <c r="U100" s="41" t="n">
        <f aca="false">MIN(S100,T100)</f>
        <v>0.0451509575352087</v>
      </c>
      <c r="V100" s="41" t="n">
        <f aca="false">_xlfn.XLOOKUP(L100+K100,'DGI TABLE'!$A$2:$A$91,'DGI TABLE'!$G$2:$G$91)/_xlfn.XLOOKUP(L100+K100,'DGI TABLE'!$A$2:$A$91,'DGI TABLE'!$C$2:$C$91)</f>
        <v>0.420308883501613</v>
      </c>
      <c r="W100" s="41" t="n">
        <f aca="false">(_xlfn.XLOOKUP(L100+K100,'DGI TABLE'!$A$2:$A$91,'DGI TABLE'!$D$2:$D$91)-_xlfn.XLOOKUP(L100+H100,'DGI TABLE'!$A$2:$A$91,'DGI TABLE'!$D$2:$D$91))/_xlfn.XLOOKUP(L100+K100,'DGI TABLE'!$A$2:$A$91,'DGI TABLE'!$C$2:$C$91)</f>
        <v>2.86109061081747</v>
      </c>
      <c r="X100" s="41" t="n">
        <f aca="false">G100*(((1+J100*(K100-1))*V100)-(U100*W100))</f>
        <v>73013.5993787712</v>
      </c>
      <c r="Y100" s="40"/>
    </row>
    <row r="101" customFormat="false" ht="14.25" hidden="false" customHeight="false" outlineLevel="0" collapsed="false">
      <c r="A101" s="41" t="n">
        <v>100</v>
      </c>
      <c r="B101" s="41" t="s">
        <v>104</v>
      </c>
      <c r="C101" s="41" t="s">
        <v>215</v>
      </c>
      <c r="D101" s="41" t="n">
        <v>51</v>
      </c>
      <c r="E101" s="41" t="s">
        <v>36</v>
      </c>
      <c r="F101" s="41" t="s">
        <v>220</v>
      </c>
      <c r="G101" s="41" t="n">
        <v>50000</v>
      </c>
      <c r="H101" s="41" t="n">
        <v>25</v>
      </c>
      <c r="I101" s="41" t="s">
        <v>219</v>
      </c>
      <c r="J101" s="41" t="n">
        <v>0.05</v>
      </c>
      <c r="K101" s="41" t="n">
        <v>7</v>
      </c>
      <c r="L101" s="41" t="n">
        <f aca="false">IF(C101="F",D101-3,D101)</f>
        <v>48</v>
      </c>
      <c r="M101" s="41" t="n">
        <f aca="false">_xlfn.XLOOKUP(L101,'DGI TABLE'!$A$2:$A$91,'DGI TABLE'!$G$2:$G$91)/_xlfn.XLOOKUP(L101,'DGI TABLE'!$A$2:$A$91,'DGI TABLE'!$C$2:$C$91)</f>
        <v>0.363158251267419</v>
      </c>
      <c r="N101" s="41" t="n">
        <f aca="false">(_xlfn.XLOOKUP(L101,'DGI TABLE'!$A$2:$A$91,'DGI TABLE'!$D$2:$D$91)-_xlfn.XLOOKUP(L101+H101,'DGI TABLE'!$A$2:$A$91,'DGI TABLE'!$D$2:$D$91))/_xlfn.XLOOKUP(L101,'DGI TABLE'!$A$2:$A$91,'DGI TABLE'!$C$2:$C$91)</f>
        <v>14.5918689975807</v>
      </c>
      <c r="O101" s="41" t="n">
        <f aca="false">M101/N101</f>
        <v>0.0248877132413696</v>
      </c>
      <c r="P101" s="41" t="n">
        <f aca="false">_xlfn.XLOOKUP(L101+1,'DGI TABLE'!$A$2:$A$91,'DGI TABLE'!$G$2:$G$91)/_xlfn.XLOOKUP(L101+1,'DGI TABLE'!$A$2:$A$91,'DGI TABLE'!$C$2:$C$91)</f>
        <v>0.374230330834985</v>
      </c>
      <c r="Q101" s="41" t="n">
        <f aca="false">(_xlfn.XLOOKUP(L101+1,'DGI TABLE'!$A$2:$A$91,'DGI TABLE'!$D$2:$D$91)-_xlfn.XLOOKUP(L101+H101,'DGI TABLE'!$A$2:$A$91,'DGI TABLE'!$D$2:$D$91))/_xlfn.XLOOKUP(L101+1,'DGI TABLE'!$A$2:$A$91,'DGI TABLE'!$C$2:$C$91)</f>
        <v>14.2140050923497</v>
      </c>
      <c r="R101" s="41" t="n">
        <f aca="false">_xlfn.XLOOKUP(L101,'DGI TABLE'!$A$2:$A$91,'DGI TABLE'!$F$2:$F$91)/_xlfn.XLOOKUP(L101,'DGI TABLE'!$A$2:$A$91,'DGI TABLE'!$C$2:$C$91)</f>
        <v>0.00530769293563606</v>
      </c>
      <c r="S101" s="41" t="n">
        <f aca="false">P101/Q101</f>
        <v>0.0263282817477254</v>
      </c>
      <c r="T101" s="41" t="n">
        <f aca="false">O101+0.03/N101</f>
        <v>0.0269436527515841</v>
      </c>
      <c r="U101" s="41" t="n">
        <f aca="false">MIN(S101,T101)</f>
        <v>0.0263282817477254</v>
      </c>
      <c r="V101" s="41" t="n">
        <f aca="false">_xlfn.XLOOKUP(L101+K101,'DGI TABLE'!$A$2:$A$91,'DGI TABLE'!$G$2:$G$91)/_xlfn.XLOOKUP(L101+K101,'DGI TABLE'!$A$2:$A$91,'DGI TABLE'!$C$2:$C$91)</f>
        <v>0.444234738915558</v>
      </c>
      <c r="W101" s="41" t="n">
        <f aca="false">(_xlfn.XLOOKUP(L101+K101,'DGI TABLE'!$A$2:$A$91,'DGI TABLE'!$D$2:$D$91)-_xlfn.XLOOKUP(L101+H101,'DGI TABLE'!$A$2:$A$91,'DGI TABLE'!$D$2:$D$91))/_xlfn.XLOOKUP(L101+K101,'DGI TABLE'!$A$2:$A$91,'DGI TABLE'!$C$2:$C$91)</f>
        <v>11.7258191435499</v>
      </c>
      <c r="X101" s="41" t="n">
        <f aca="false">G101*(((1+J101*(K101-1))*V101)-(U101*W101))</f>
        <v>13439.2245227986</v>
      </c>
      <c r="Y101" s="40"/>
    </row>
    <row r="102" customFormat="false" ht="14.25" hidden="false" customHeight="false" outlineLevel="0" collapsed="false">
      <c r="A102" s="41" t="n">
        <v>101</v>
      </c>
      <c r="B102" s="41" t="s">
        <v>113</v>
      </c>
      <c r="C102" s="41" t="s">
        <v>217</v>
      </c>
      <c r="D102" s="41" t="n">
        <v>45</v>
      </c>
      <c r="E102" s="41" t="s">
        <v>36</v>
      </c>
      <c r="F102" s="41" t="s">
        <v>220</v>
      </c>
      <c r="G102" s="41" t="n">
        <v>180000</v>
      </c>
      <c r="H102" s="41" t="n">
        <v>5</v>
      </c>
      <c r="I102" s="41" t="s">
        <v>219</v>
      </c>
      <c r="J102" s="41" t="n">
        <v>0.05</v>
      </c>
      <c r="K102" s="41" t="n">
        <v>3</v>
      </c>
      <c r="L102" s="41" t="n">
        <f aca="false">IF(C102="F",D102-3,D102)</f>
        <v>45</v>
      </c>
      <c r="M102" s="41" t="n">
        <f aca="false">_xlfn.XLOOKUP(L102,'DGI TABLE'!$A$2:$A$91,'DGI TABLE'!$G$2:$G$91)/_xlfn.XLOOKUP(L102,'DGI TABLE'!$A$2:$A$91,'DGI TABLE'!$C$2:$C$91)</f>
        <v>0.331112736744351</v>
      </c>
      <c r="N102" s="41" t="n">
        <f aca="false">(_xlfn.XLOOKUP(L102,'DGI TABLE'!$A$2:$A$91,'DGI TABLE'!$D$2:$D$91)-_xlfn.XLOOKUP(L102+H102,'DGI TABLE'!$A$2:$A$91,'DGI TABLE'!$D$2:$D$91))/_xlfn.XLOOKUP(L102,'DGI TABLE'!$A$2:$A$91,'DGI TABLE'!$C$2:$C$91)</f>
        <v>4.58908039049351</v>
      </c>
      <c r="O102" s="41" t="n">
        <f aca="false">M102/N102</f>
        <v>0.0721523069045087</v>
      </c>
      <c r="P102" s="41" t="n">
        <f aca="false">_xlfn.XLOOKUP(L102+1,'DGI TABLE'!$A$2:$A$91,'DGI TABLE'!$G$2:$G$91)/_xlfn.XLOOKUP(L102+1,'DGI TABLE'!$A$2:$A$91,'DGI TABLE'!$C$2:$C$91)</f>
        <v>0.341598557977591</v>
      </c>
      <c r="Q102" s="41" t="n">
        <f aca="false">(_xlfn.XLOOKUP(L102+1,'DGI TABLE'!$A$2:$A$91,'DGI TABLE'!$D$2:$D$91)-_xlfn.XLOOKUP(L102+H102,'DGI TABLE'!$A$2:$A$91,'DGI TABLE'!$D$2:$D$91))/_xlfn.XLOOKUP(L102+1,'DGI TABLE'!$A$2:$A$91,'DGI TABLE'!$C$2:$C$91)</f>
        <v>3.74834936010288</v>
      </c>
      <c r="R102" s="41" t="n">
        <f aca="false">_xlfn.XLOOKUP(L102,'DGI TABLE'!$A$2:$A$91,'DGI TABLE'!$F$2:$F$91)/_xlfn.XLOOKUP(L102,'DGI TABLE'!$A$2:$A$91,'DGI TABLE'!$C$2:$C$91)</f>
        <v>0.00402884779100551</v>
      </c>
      <c r="S102" s="41" t="n">
        <f aca="false">P102/Q102</f>
        <v>0.0911330628925728</v>
      </c>
      <c r="T102" s="41" t="n">
        <f aca="false">O102+0.03/N102</f>
        <v>0.0786895643607403</v>
      </c>
      <c r="U102" s="41" t="n">
        <f aca="false">MIN(S102,T102)</f>
        <v>0.0786895643607403</v>
      </c>
      <c r="V102" s="41" t="n">
        <f aca="false">_xlfn.XLOOKUP(L102+K102,'DGI TABLE'!$A$2:$A$91,'DGI TABLE'!$G$2:$G$91)/_xlfn.XLOOKUP(L102+K102,'DGI TABLE'!$A$2:$A$91,'DGI TABLE'!$C$2:$C$91)</f>
        <v>0.363158251267419</v>
      </c>
      <c r="W102" s="41" t="n">
        <f aca="false">(_xlfn.XLOOKUP(L102+K102,'DGI TABLE'!$A$2:$A$91,'DGI TABLE'!$D$2:$D$91)-_xlfn.XLOOKUP(L102+H102,'DGI TABLE'!$A$2:$A$91,'DGI TABLE'!$D$2:$D$91))/_xlfn.XLOOKUP(L102+K102,'DGI TABLE'!$A$2:$A$91,'DGI TABLE'!$C$2:$C$91)</f>
        <v>1.956230700851</v>
      </c>
      <c r="X102" s="41" t="n">
        <f aca="false">G102*(((1+J102*(K102-1))*V102)-(U102*W102))</f>
        <v>44197.0442559162</v>
      </c>
      <c r="Y102" s="40"/>
    </row>
    <row r="103" customFormat="false" ht="14.25" hidden="false" customHeight="false" outlineLevel="0" collapsed="false">
      <c r="A103" s="41" t="n">
        <v>102</v>
      </c>
      <c r="B103" s="41" t="s">
        <v>115</v>
      </c>
      <c r="C103" s="41" t="s">
        <v>217</v>
      </c>
      <c r="D103" s="41" t="n">
        <v>19</v>
      </c>
      <c r="E103" s="41" t="s">
        <v>36</v>
      </c>
      <c r="F103" s="41" t="s">
        <v>220</v>
      </c>
      <c r="G103" s="41" t="n">
        <v>75000</v>
      </c>
      <c r="H103" s="41" t="n">
        <v>10</v>
      </c>
      <c r="I103" s="41" t="s">
        <v>219</v>
      </c>
      <c r="J103" s="41" t="n">
        <v>0.05</v>
      </c>
      <c r="K103" s="41" t="n">
        <v>7</v>
      </c>
      <c r="L103" s="41" t="n">
        <f aca="false">IF(C103="F",D103-3,D103)</f>
        <v>19</v>
      </c>
      <c r="M103" s="41" t="n">
        <f aca="false">_xlfn.XLOOKUP(L103,'DGI TABLE'!$A$2:$A$91,'DGI TABLE'!$G$2:$G$91)/_xlfn.XLOOKUP(L103,'DGI TABLE'!$A$2:$A$91,'DGI TABLE'!$C$2:$C$91)</f>
        <v>0.146185072188192</v>
      </c>
      <c r="N103" s="41" t="n">
        <f aca="false">(_xlfn.XLOOKUP(L103,'DGI TABLE'!$A$2:$A$91,'DGI TABLE'!$D$2:$D$91)-_xlfn.XLOOKUP(L103+H103,'DGI TABLE'!$A$2:$A$91,'DGI TABLE'!$D$2:$D$91))/_xlfn.XLOOKUP(L103,'DGI TABLE'!$A$2:$A$91,'DGI TABLE'!$C$2:$C$91)</f>
        <v>8.36536745405255</v>
      </c>
      <c r="O103" s="41" t="n">
        <f aca="false">M103/N103</f>
        <v>0.0174750329846388</v>
      </c>
      <c r="P103" s="41" t="n">
        <f aca="false">_xlfn.XLOOKUP(L103+1,'DGI TABLE'!$A$2:$A$91,'DGI TABLE'!$G$2:$G$91)/_xlfn.XLOOKUP(L103+1,'DGI TABLE'!$A$2:$A$91,'DGI TABLE'!$C$2:$C$91)</f>
        <v>0.15053741994105</v>
      </c>
      <c r="Q103" s="41" t="n">
        <f aca="false">(_xlfn.XLOOKUP(L103+1,'DGI TABLE'!$A$2:$A$91,'DGI TABLE'!$D$2:$D$91)-_xlfn.XLOOKUP(L103+H103,'DGI TABLE'!$A$2:$A$91,'DGI TABLE'!$D$2:$D$91))/_xlfn.XLOOKUP(L103+1,'DGI TABLE'!$A$2:$A$91,'DGI TABLE'!$C$2:$C$91)</f>
        <v>7.67348749206431</v>
      </c>
      <c r="R103" s="41" t="n">
        <f aca="false">_xlfn.XLOOKUP(L103,'DGI TABLE'!$A$2:$A$91,'DGI TABLE'!$F$2:$F$91)/_xlfn.XLOOKUP(L103,'DGI TABLE'!$A$2:$A$91,'DGI TABLE'!$C$2:$C$91)</f>
        <v>0.00169230826402352</v>
      </c>
      <c r="S103" s="41" t="n">
        <f aca="false">P103/Q103</f>
        <v>0.0196178621645935</v>
      </c>
      <c r="T103" s="41" t="n">
        <f aca="false">O103+0.03/N103</f>
        <v>0.0210612472382</v>
      </c>
      <c r="U103" s="41" t="n">
        <f aca="false">MIN(S103,T103)</f>
        <v>0.0196178621645935</v>
      </c>
      <c r="V103" s="41" t="n">
        <f aca="false">_xlfn.XLOOKUP(L103+K103,'DGI TABLE'!$A$2:$A$91,'DGI TABLE'!$G$2:$G$91)/_xlfn.XLOOKUP(L103+K103,'DGI TABLE'!$A$2:$A$91,'DGI TABLE'!$C$2:$C$91)</f>
        <v>0.178981092349833</v>
      </c>
      <c r="W103" s="41" t="n">
        <f aca="false">(_xlfn.XLOOKUP(L103+K103,'DGI TABLE'!$A$2:$A$91,'DGI TABLE'!$D$2:$D$91)-_xlfn.XLOOKUP(L103+H103,'DGI TABLE'!$A$2:$A$91,'DGI TABLE'!$D$2:$D$91))/_xlfn.XLOOKUP(L103+K103,'DGI TABLE'!$A$2:$A$91,'DGI TABLE'!$C$2:$C$91)</f>
        <v>2.88058860367287</v>
      </c>
      <c r="X103" s="41" t="n">
        <f aca="false">G103*(((1+J103*(K103-1))*V103)-(U103*W103))</f>
        <v>13212.3322406272</v>
      </c>
      <c r="Y103" s="40"/>
    </row>
    <row r="104" customFormat="false" ht="14.25" hidden="false" customHeight="false" outlineLevel="0" collapsed="false">
      <c r="A104" s="41" t="n">
        <v>103</v>
      </c>
      <c r="B104" s="41" t="s">
        <v>119</v>
      </c>
      <c r="C104" s="41" t="s">
        <v>217</v>
      </c>
      <c r="D104" s="41" t="n">
        <v>19</v>
      </c>
      <c r="E104" s="41" t="s">
        <v>36</v>
      </c>
      <c r="F104" s="41" t="s">
        <v>220</v>
      </c>
      <c r="G104" s="41" t="n">
        <v>100000</v>
      </c>
      <c r="H104" s="41" t="n">
        <v>10</v>
      </c>
      <c r="I104" s="41" t="s">
        <v>219</v>
      </c>
      <c r="J104" s="41" t="n">
        <v>0.05</v>
      </c>
      <c r="K104" s="41" t="n">
        <v>5</v>
      </c>
      <c r="L104" s="41" t="n">
        <f aca="false">IF(C104="F",D104-3,D104)</f>
        <v>19</v>
      </c>
      <c r="M104" s="41" t="n">
        <f aca="false">_xlfn.XLOOKUP(L104,'DGI TABLE'!$A$2:$A$91,'DGI TABLE'!$G$2:$G$91)/_xlfn.XLOOKUP(L104,'DGI TABLE'!$A$2:$A$91,'DGI TABLE'!$C$2:$C$91)</f>
        <v>0.146185072188192</v>
      </c>
      <c r="N104" s="41" t="n">
        <f aca="false">(_xlfn.XLOOKUP(L104,'DGI TABLE'!$A$2:$A$91,'DGI TABLE'!$D$2:$D$91)-_xlfn.XLOOKUP(L104+H104,'DGI TABLE'!$A$2:$A$91,'DGI TABLE'!$D$2:$D$91))/_xlfn.XLOOKUP(L104,'DGI TABLE'!$A$2:$A$91,'DGI TABLE'!$C$2:$C$91)</f>
        <v>8.36536745405255</v>
      </c>
      <c r="O104" s="41" t="n">
        <f aca="false">M104/N104</f>
        <v>0.0174750329846388</v>
      </c>
      <c r="P104" s="41" t="n">
        <f aca="false">_xlfn.XLOOKUP(L104+1,'DGI TABLE'!$A$2:$A$91,'DGI TABLE'!$G$2:$G$91)/_xlfn.XLOOKUP(L104+1,'DGI TABLE'!$A$2:$A$91,'DGI TABLE'!$C$2:$C$91)</f>
        <v>0.15053741994105</v>
      </c>
      <c r="Q104" s="41" t="n">
        <f aca="false">(_xlfn.XLOOKUP(L104+1,'DGI TABLE'!$A$2:$A$91,'DGI TABLE'!$D$2:$D$91)-_xlfn.XLOOKUP(L104+H104,'DGI TABLE'!$A$2:$A$91,'DGI TABLE'!$D$2:$D$91))/_xlfn.XLOOKUP(L104+1,'DGI TABLE'!$A$2:$A$91,'DGI TABLE'!$C$2:$C$91)</f>
        <v>7.67348749206431</v>
      </c>
      <c r="R104" s="41" t="n">
        <f aca="false">_xlfn.XLOOKUP(L104,'DGI TABLE'!$A$2:$A$91,'DGI TABLE'!$F$2:$F$91)/_xlfn.XLOOKUP(L104,'DGI TABLE'!$A$2:$A$91,'DGI TABLE'!$C$2:$C$91)</f>
        <v>0.00169230826402352</v>
      </c>
      <c r="S104" s="41" t="n">
        <f aca="false">P104/Q104</f>
        <v>0.0196178621645935</v>
      </c>
      <c r="T104" s="41" t="n">
        <f aca="false">O104+0.03/N104</f>
        <v>0.0210612472382</v>
      </c>
      <c r="U104" s="41" t="n">
        <f aca="false">MIN(S104,T104)</f>
        <v>0.0196178621645935</v>
      </c>
      <c r="V104" s="41" t="n">
        <f aca="false">_xlfn.XLOOKUP(L104+K104,'DGI TABLE'!$A$2:$A$91,'DGI TABLE'!$G$2:$G$91)/_xlfn.XLOOKUP(L104+K104,'DGI TABLE'!$A$2:$A$91,'DGI TABLE'!$C$2:$C$91)</f>
        <v>0.168703020882262</v>
      </c>
      <c r="W104" s="41" t="n">
        <f aca="false">(_xlfn.XLOOKUP(L104+K104,'DGI TABLE'!$A$2:$A$91,'DGI TABLE'!$D$2:$D$91)-_xlfn.XLOOKUP(L104+H104,'DGI TABLE'!$A$2:$A$91,'DGI TABLE'!$D$2:$D$91))/_xlfn.XLOOKUP(L104+K104,'DGI TABLE'!$A$2:$A$91,'DGI TABLE'!$C$2:$C$91)</f>
        <v>4.61173463609102</v>
      </c>
      <c r="X104" s="41" t="n">
        <f aca="false">G104*(((1+J104*(K104-1))*V104)-(U104*W104))</f>
        <v>11197.1250628199</v>
      </c>
      <c r="Y104" s="40"/>
    </row>
    <row r="105" customFormat="false" ht="14.25" hidden="false" customHeight="false" outlineLevel="0" collapsed="false">
      <c r="A105" s="41" t="n">
        <v>104</v>
      </c>
      <c r="B105" s="41" t="s">
        <v>134</v>
      </c>
      <c r="C105" s="41" t="s">
        <v>215</v>
      </c>
      <c r="D105" s="41" t="n">
        <v>44</v>
      </c>
      <c r="E105" s="41" t="s">
        <v>36</v>
      </c>
      <c r="F105" s="41" t="s">
        <v>220</v>
      </c>
      <c r="G105" s="41" t="n">
        <v>75000</v>
      </c>
      <c r="H105" s="41" t="n">
        <v>25</v>
      </c>
      <c r="I105" s="41" t="s">
        <v>219</v>
      </c>
      <c r="J105" s="41" t="n">
        <v>0.05</v>
      </c>
      <c r="K105" s="41" t="n">
        <v>7</v>
      </c>
      <c r="L105" s="41" t="n">
        <f aca="false">IF(C105="F",D105-3,D105)</f>
        <v>41</v>
      </c>
      <c r="M105" s="41" t="n">
        <f aca="false">_xlfn.XLOOKUP(L105,'DGI TABLE'!$A$2:$A$91,'DGI TABLE'!$G$2:$G$91)/_xlfn.XLOOKUP(L105,'DGI TABLE'!$A$2:$A$91,'DGI TABLE'!$C$2:$C$91)</f>
        <v>0.291335783864701</v>
      </c>
      <c r="N105" s="41" t="n">
        <f aca="false">(_xlfn.XLOOKUP(L105,'DGI TABLE'!$A$2:$A$91,'DGI TABLE'!$D$2:$D$91)-_xlfn.XLOOKUP(L105+H105,'DGI TABLE'!$A$2:$A$91,'DGI TABLE'!$D$2:$D$91))/_xlfn.XLOOKUP(L105,'DGI TABLE'!$A$2:$A$91,'DGI TABLE'!$C$2:$C$91)</f>
        <v>15.2956263299362</v>
      </c>
      <c r="O105" s="41" t="n">
        <f aca="false">M105/N105</f>
        <v>0.0190469992911964</v>
      </c>
      <c r="P105" s="41" t="n">
        <f aca="false">_xlfn.XLOOKUP(L105+1,'DGI TABLE'!$A$2:$A$91,'DGI TABLE'!$G$2:$G$91)/_xlfn.XLOOKUP(L105+1,'DGI TABLE'!$A$2:$A$91,'DGI TABLE'!$C$2:$C$91)</f>
        <v>0.300940980715308</v>
      </c>
      <c r="Q105" s="41" t="n">
        <f aca="false">(_xlfn.XLOOKUP(L105+1,'DGI TABLE'!$A$2:$A$91,'DGI TABLE'!$D$2:$D$91)-_xlfn.XLOOKUP(L105+H105,'DGI TABLE'!$A$2:$A$91,'DGI TABLE'!$D$2:$D$91))/_xlfn.XLOOKUP(L105+1,'DGI TABLE'!$A$2:$A$91,'DGI TABLE'!$C$2:$C$91)</f>
        <v>14.9111415529805</v>
      </c>
      <c r="R105" s="41" t="n">
        <f aca="false">_xlfn.XLOOKUP(L105,'DGI TABLE'!$A$2:$A$91,'DGI TABLE'!$F$2:$F$91)/_xlfn.XLOOKUP(L105,'DGI TABLE'!$A$2:$A$91,'DGI TABLE'!$C$2:$C$91)</f>
        <v>0.00281730978377702</v>
      </c>
      <c r="S105" s="41" t="n">
        <f aca="false">P105/Q105</f>
        <v>0.0201822898432049</v>
      </c>
      <c r="T105" s="41" t="n">
        <f aca="false">O105+0.03/N105</f>
        <v>0.0210083442765459</v>
      </c>
      <c r="U105" s="41" t="n">
        <f aca="false">MIN(S105,T105)</f>
        <v>0.0201822898432049</v>
      </c>
      <c r="V105" s="41" t="n">
        <f aca="false">_xlfn.XLOOKUP(L105+K105,'DGI TABLE'!$A$2:$A$91,'DGI TABLE'!$G$2:$G$91)/_xlfn.XLOOKUP(L105+K105,'DGI TABLE'!$A$2:$A$91,'DGI TABLE'!$C$2:$C$91)</f>
        <v>0.363158251267419</v>
      </c>
      <c r="W105" s="41" t="n">
        <f aca="false">(_xlfn.XLOOKUP(L105+K105,'DGI TABLE'!$A$2:$A$91,'DGI TABLE'!$D$2:$D$91)-_xlfn.XLOOKUP(L105+H105,'DGI TABLE'!$A$2:$A$91,'DGI TABLE'!$D$2:$D$91))/_xlfn.XLOOKUP(L105+K105,'DGI TABLE'!$A$2:$A$91,'DGI TABLE'!$C$2:$C$91)</f>
        <v>12.3253591086398</v>
      </c>
      <c r="X105" s="41" t="n">
        <f aca="false">G105*(((1+J105*(K105-1))*V105)-(U105*W105))</f>
        <v>16751.3817521619</v>
      </c>
      <c r="Y105" s="40"/>
    </row>
    <row r="106" customFormat="false" ht="14.25" hidden="false" customHeight="false" outlineLevel="0" collapsed="false">
      <c r="A106" s="41" t="n">
        <v>105</v>
      </c>
      <c r="B106" s="41" t="s">
        <v>144</v>
      </c>
      <c r="C106" s="41" t="s">
        <v>215</v>
      </c>
      <c r="D106" s="41" t="n">
        <v>31</v>
      </c>
      <c r="E106" s="41" t="s">
        <v>36</v>
      </c>
      <c r="F106" s="41" t="s">
        <v>220</v>
      </c>
      <c r="G106" s="41" t="n">
        <v>80000</v>
      </c>
      <c r="H106" s="41" t="n">
        <v>20</v>
      </c>
      <c r="I106" s="41" t="s">
        <v>219</v>
      </c>
      <c r="J106" s="41" t="n">
        <v>0.05</v>
      </c>
      <c r="K106" s="41" t="n">
        <v>7</v>
      </c>
      <c r="L106" s="41" t="n">
        <f aca="false">IF(C106="F",D106-3,D106)</f>
        <v>28</v>
      </c>
      <c r="M106" s="41" t="n">
        <f aca="false">_xlfn.XLOOKUP(L106,'DGI TABLE'!$A$2:$A$91,'DGI TABLE'!$G$2:$G$91)/_xlfn.XLOOKUP(L106,'DGI TABLE'!$A$2:$A$91,'DGI TABLE'!$C$2:$C$91)</f>
        <v>0.190352197164366</v>
      </c>
      <c r="N106" s="41" t="n">
        <f aca="false">(_xlfn.XLOOKUP(L106,'DGI TABLE'!$A$2:$A$91,'DGI TABLE'!$D$2:$D$91)-_xlfn.XLOOKUP(L106+H106,'DGI TABLE'!$A$2:$A$91,'DGI TABLE'!$D$2:$D$91))/_xlfn.XLOOKUP(L106,'DGI TABLE'!$A$2:$A$91,'DGI TABLE'!$C$2:$C$91)</f>
        <v>13.8930283156353</v>
      </c>
      <c r="O106" s="41" t="n">
        <f aca="false">M106/N106</f>
        <v>0.0137012746853861</v>
      </c>
      <c r="P106" s="41" t="n">
        <f aca="false">_xlfn.XLOOKUP(L106+1,'DGI TABLE'!$A$2:$A$91,'DGI TABLE'!$G$2:$G$91)/_xlfn.XLOOKUP(L106+1,'DGI TABLE'!$A$2:$A$91,'DGI TABLE'!$C$2:$C$91)</f>
        <v>0.196463675901825</v>
      </c>
      <c r="Q106" s="41" t="n">
        <f aca="false">(_xlfn.XLOOKUP(L106+1,'DGI TABLE'!$A$2:$A$91,'DGI TABLE'!$D$2:$D$91)-_xlfn.XLOOKUP(L106+H106,'DGI TABLE'!$A$2:$A$91,'DGI TABLE'!$D$2:$D$91))/_xlfn.XLOOKUP(L106+1,'DGI TABLE'!$A$2:$A$91,'DGI TABLE'!$C$2:$C$91)</f>
        <v>13.4338711538256</v>
      </c>
      <c r="R106" s="41" t="n">
        <f aca="false">_xlfn.XLOOKUP(L106,'DGI TABLE'!$A$2:$A$91,'DGI TABLE'!$F$2:$F$91)/_xlfn.XLOOKUP(L106,'DGI TABLE'!$A$2:$A$91,'DGI TABLE'!$C$2:$C$91)</f>
        <v>0.0017980779925225</v>
      </c>
      <c r="S106" s="41" t="n">
        <f aca="false">P106/Q106</f>
        <v>0.0146245020256784</v>
      </c>
      <c r="T106" s="41" t="n">
        <f aca="false">O106+0.03/N106</f>
        <v>0.0158606311135478</v>
      </c>
      <c r="U106" s="41" t="n">
        <f aca="false">MIN(S106,T106)</f>
        <v>0.0146245020256784</v>
      </c>
      <c r="V106" s="41" t="n">
        <f aca="false">_xlfn.XLOOKUP(L106+K106,'DGI TABLE'!$A$2:$A$91,'DGI TABLE'!$G$2:$G$91)/_xlfn.XLOOKUP(L106+K106,'DGI TABLE'!$A$2:$A$91,'DGI TABLE'!$C$2:$C$91)</f>
        <v>0.239168490424031</v>
      </c>
      <c r="W106" s="41" t="n">
        <f aca="false">(_xlfn.XLOOKUP(L106+K106,'DGI TABLE'!$A$2:$A$91,'DGI TABLE'!$D$2:$D$91)-_xlfn.XLOOKUP(L106+H106,'DGI TABLE'!$A$2:$A$91,'DGI TABLE'!$D$2:$D$91))/_xlfn.XLOOKUP(L106+K106,'DGI TABLE'!$A$2:$A$91,'DGI TABLE'!$C$2:$C$91)</f>
        <v>10.2408755982853</v>
      </c>
      <c r="X106" s="41" t="n">
        <f aca="false">G106*(((1+J106*(K106-1))*V106)-(U106*W106))</f>
        <v>12892.1065295517</v>
      </c>
      <c r="Y106" s="40"/>
    </row>
    <row r="107" customFormat="false" ht="14.25" hidden="false" customHeight="false" outlineLevel="0" collapsed="false">
      <c r="A107" s="41" t="n">
        <v>106</v>
      </c>
      <c r="B107" s="41" t="s">
        <v>152</v>
      </c>
      <c r="C107" s="41" t="s">
        <v>215</v>
      </c>
      <c r="D107" s="41" t="n">
        <v>58</v>
      </c>
      <c r="E107" s="41" t="s">
        <v>36</v>
      </c>
      <c r="F107" s="41" t="s">
        <v>220</v>
      </c>
      <c r="G107" s="41" t="n">
        <v>75000</v>
      </c>
      <c r="H107" s="41" t="n">
        <v>20</v>
      </c>
      <c r="I107" s="41" t="s">
        <v>219</v>
      </c>
      <c r="J107" s="41" t="n">
        <v>0.05</v>
      </c>
      <c r="K107" s="41" t="n">
        <v>3</v>
      </c>
      <c r="L107" s="41" t="n">
        <f aca="false">IF(C107="F",D107-3,D107)</f>
        <v>55</v>
      </c>
      <c r="M107" s="41" t="n">
        <f aca="false">_xlfn.XLOOKUP(L107,'DGI TABLE'!$A$2:$A$91,'DGI TABLE'!$G$2:$G$91)/_xlfn.XLOOKUP(L107,'DGI TABLE'!$A$2:$A$91,'DGI TABLE'!$C$2:$C$91)</f>
        <v>0.444234738915558</v>
      </c>
      <c r="N107" s="41" t="n">
        <f aca="false">(_xlfn.XLOOKUP(L107,'DGI TABLE'!$A$2:$A$91,'DGI TABLE'!$D$2:$D$91)-_xlfn.XLOOKUP(L107+H107,'DGI TABLE'!$A$2:$A$91,'DGI TABLE'!$D$2:$D$91))/_xlfn.XLOOKUP(L107,'DGI TABLE'!$A$2:$A$91,'DGI TABLE'!$C$2:$C$91)</f>
        <v>12.3522020353834</v>
      </c>
      <c r="O107" s="41" t="n">
        <f aca="false">M107/N107</f>
        <v>0.0359640117319186</v>
      </c>
      <c r="P107" s="41" t="n">
        <f aca="false">_xlfn.XLOOKUP(L107+1,'DGI TABLE'!$A$2:$A$91,'DGI TABLE'!$G$2:$G$91)/_xlfn.XLOOKUP(L107+1,'DGI TABLE'!$A$2:$A$91,'DGI TABLE'!$C$2:$C$91)</f>
        <v>0.456388612531245</v>
      </c>
      <c r="Q107" s="41" t="n">
        <f aca="false">(_xlfn.XLOOKUP(L107+1,'DGI TABLE'!$A$2:$A$91,'DGI TABLE'!$D$2:$D$91)-_xlfn.XLOOKUP(L107+H107,'DGI TABLE'!$A$2:$A$91,'DGI TABLE'!$D$2:$D$91))/_xlfn.XLOOKUP(L107+1,'DGI TABLE'!$A$2:$A$91,'DGI TABLE'!$C$2:$C$91)</f>
        <v>11.9295217804462</v>
      </c>
      <c r="R107" s="41" t="n">
        <f aca="false">_xlfn.XLOOKUP(L107,'DGI TABLE'!$A$2:$A$91,'DGI TABLE'!$F$2:$F$91)/_xlfn.XLOOKUP(L107,'DGI TABLE'!$A$2:$A$91,'DGI TABLE'!$C$2:$C$91)</f>
        <v>0.00993269131837168</v>
      </c>
      <c r="S107" s="41" t="n">
        <f aca="false">P107/Q107</f>
        <v>0.0382570752567229</v>
      </c>
      <c r="T107" s="41" t="n">
        <f aca="false">O107+0.03/N107</f>
        <v>0.0383927284833176</v>
      </c>
      <c r="U107" s="41" t="n">
        <f aca="false">MIN(S107,T107)</f>
        <v>0.0382570752567229</v>
      </c>
      <c r="V107" s="41" t="n">
        <f aca="false">_xlfn.XLOOKUP(L107+K107,'DGI TABLE'!$A$2:$A$91,'DGI TABLE'!$G$2:$G$91)/_xlfn.XLOOKUP(L107+K107,'DGI TABLE'!$A$2:$A$91,'DGI TABLE'!$C$2:$C$91)</f>
        <v>0.481152026728655</v>
      </c>
      <c r="W107" s="41" t="n">
        <f aca="false">(_xlfn.XLOOKUP(L107+K107,'DGI TABLE'!$A$2:$A$91,'DGI TABLE'!$D$2:$D$91)-_xlfn.XLOOKUP(L107+H107,'DGI TABLE'!$A$2:$A$91,'DGI TABLE'!$D$2:$D$91))/_xlfn.XLOOKUP(L107+K107,'DGI TABLE'!$A$2:$A$91,'DGI TABLE'!$C$2:$C$91)</f>
        <v>11.0492071857504</v>
      </c>
      <c r="X107" s="41" t="n">
        <f aca="false">G107*(((1+J107*(K107-1))*V107)-(U107*W107))</f>
        <v>7991.76589268573</v>
      </c>
      <c r="Y107" s="40"/>
    </row>
    <row r="108" customFormat="false" ht="14.25" hidden="false" customHeight="false" outlineLevel="0" collapsed="false">
      <c r="A108" s="41" t="n">
        <v>107</v>
      </c>
      <c r="B108" s="41" t="s">
        <v>157</v>
      </c>
      <c r="C108" s="41" t="s">
        <v>217</v>
      </c>
      <c r="D108" s="41" t="n">
        <v>58</v>
      </c>
      <c r="E108" s="41" t="s">
        <v>36</v>
      </c>
      <c r="F108" s="41" t="s">
        <v>220</v>
      </c>
      <c r="G108" s="41" t="n">
        <v>175000</v>
      </c>
      <c r="H108" s="41" t="n">
        <v>25</v>
      </c>
      <c r="I108" s="41" t="s">
        <v>219</v>
      </c>
      <c r="J108" s="41" t="n">
        <v>0.05</v>
      </c>
      <c r="K108" s="41" t="n">
        <v>6</v>
      </c>
      <c r="L108" s="41" t="n">
        <f aca="false">IF(C108="F",D108-3,D108)</f>
        <v>58</v>
      </c>
      <c r="M108" s="41" t="n">
        <f aca="false">_xlfn.XLOOKUP(L108,'DGI TABLE'!$A$2:$A$91,'DGI TABLE'!$G$2:$G$91)/_xlfn.XLOOKUP(L108,'DGI TABLE'!$A$2:$A$91,'DGI TABLE'!$C$2:$C$91)</f>
        <v>0.481152026728655</v>
      </c>
      <c r="N108" s="41" t="n">
        <f aca="false">(_xlfn.XLOOKUP(L108,'DGI TABLE'!$A$2:$A$91,'DGI TABLE'!$D$2:$D$91)-_xlfn.XLOOKUP(L108+H108,'DGI TABLE'!$A$2:$A$91,'DGI TABLE'!$D$2:$D$91))/_xlfn.XLOOKUP(L108,'DGI TABLE'!$A$2:$A$91,'DGI TABLE'!$C$2:$C$91)</f>
        <v>12.8375854391635</v>
      </c>
      <c r="O108" s="41" t="n">
        <f aca="false">M108/N108</f>
        <v>0.0374799473786409</v>
      </c>
      <c r="P108" s="41" t="n">
        <f aca="false">_xlfn.XLOOKUP(L108+1,'DGI TABLE'!$A$2:$A$91,'DGI TABLE'!$G$2:$G$91)/_xlfn.XLOOKUP(L108+1,'DGI TABLE'!$A$2:$A$91,'DGI TABLE'!$C$2:$C$91)</f>
        <v>0.493843404928852</v>
      </c>
      <c r="Q108" s="41" t="n">
        <f aca="false">(_xlfn.XLOOKUP(L108+1,'DGI TABLE'!$A$2:$A$91,'DGI TABLE'!$D$2:$D$91)-_xlfn.XLOOKUP(L108+H108,'DGI TABLE'!$A$2:$A$91,'DGI TABLE'!$D$2:$D$91))/_xlfn.XLOOKUP(L108+1,'DGI TABLE'!$A$2:$A$91,'DGI TABLE'!$C$2:$C$91)</f>
        <v>12.472609857437</v>
      </c>
      <c r="R108" s="41" t="n">
        <f aca="false">_xlfn.XLOOKUP(L108,'DGI TABLE'!$A$2:$A$91,'DGI TABLE'!$F$2:$F$91)/_xlfn.XLOOKUP(L108,'DGI TABLE'!$A$2:$A$91,'DGI TABLE'!$C$2:$C$91)</f>
        <v>0.0124519257688731</v>
      </c>
      <c r="S108" s="41" t="n">
        <f aca="false">P108/Q108</f>
        <v>0.0395942317264408</v>
      </c>
      <c r="T108" s="41" t="n">
        <f aca="false">O108+0.03/N108</f>
        <v>0.0398168354283577</v>
      </c>
      <c r="U108" s="41" t="n">
        <f aca="false">MIN(S108,T108)</f>
        <v>0.0395942317264408</v>
      </c>
      <c r="V108" s="41" t="n">
        <f aca="false">_xlfn.XLOOKUP(L108+K108,'DGI TABLE'!$A$2:$A$91,'DGI TABLE'!$G$2:$G$91)/_xlfn.XLOOKUP(L108+K108,'DGI TABLE'!$A$2:$A$91,'DGI TABLE'!$C$2:$C$91)</f>
        <v>0.560244745311639</v>
      </c>
      <c r="W108" s="41" t="n">
        <f aca="false">(_xlfn.XLOOKUP(L108+K108,'DGI TABLE'!$A$2:$A$91,'DGI TABLE'!$D$2:$D$91)-_xlfn.XLOOKUP(L108+H108,'DGI TABLE'!$A$2:$A$91,'DGI TABLE'!$D$2:$D$91))/_xlfn.XLOOKUP(L108+K108,'DGI TABLE'!$A$2:$A$91,'DGI TABLE'!$C$2:$C$91)</f>
        <v>10.5260490547318</v>
      </c>
      <c r="X108" s="41" t="n">
        <f aca="false">G108*(((1+J108*(K108-1))*V108)-(U108*W108))</f>
        <v>49618.6435854574</v>
      </c>
      <c r="Y108" s="40"/>
    </row>
    <row r="109" customFormat="false" ht="14.25" hidden="false" customHeight="false" outlineLevel="0" collapsed="false">
      <c r="A109" s="41" t="n">
        <v>108</v>
      </c>
      <c r="B109" s="41" t="s">
        <v>173</v>
      </c>
      <c r="C109" s="41" t="s">
        <v>217</v>
      </c>
      <c r="D109" s="41" t="n">
        <v>26</v>
      </c>
      <c r="E109" s="41" t="s">
        <v>36</v>
      </c>
      <c r="F109" s="41" t="s">
        <v>220</v>
      </c>
      <c r="G109" s="41" t="n">
        <v>80000</v>
      </c>
      <c r="H109" s="41" t="n">
        <v>25</v>
      </c>
      <c r="I109" s="41" t="s">
        <v>219</v>
      </c>
      <c r="J109" s="41" t="n">
        <v>0.05</v>
      </c>
      <c r="K109" s="41" t="n">
        <v>3</v>
      </c>
      <c r="L109" s="41" t="n">
        <f aca="false">IF(C109="F",D109-3,D109)</f>
        <v>26</v>
      </c>
      <c r="M109" s="41" t="n">
        <f aca="false">_xlfn.XLOOKUP(L109,'DGI TABLE'!$A$2:$A$91,'DGI TABLE'!$G$2:$G$91)/_xlfn.XLOOKUP(L109,'DGI TABLE'!$A$2:$A$91,'DGI TABLE'!$C$2:$C$91)</f>
        <v>0.178981092349833</v>
      </c>
      <c r="N109" s="41" t="n">
        <f aca="false">(_xlfn.XLOOKUP(L109,'DGI TABLE'!$A$2:$A$91,'DGI TABLE'!$D$2:$D$91)-_xlfn.XLOOKUP(L109+H109,'DGI TABLE'!$A$2:$A$91,'DGI TABLE'!$D$2:$D$91))/_xlfn.XLOOKUP(L109,'DGI TABLE'!$A$2:$A$91,'DGI TABLE'!$C$2:$C$91)</f>
        <v>15.8971327940059</v>
      </c>
      <c r="O109" s="41" t="n">
        <f aca="false">M109/N109</f>
        <v>0.0112587027276591</v>
      </c>
      <c r="P109" s="41" t="n">
        <f aca="false">_xlfn.XLOOKUP(L109+1,'DGI TABLE'!$A$2:$A$91,'DGI TABLE'!$G$2:$G$91)/_xlfn.XLOOKUP(L109+1,'DGI TABLE'!$A$2:$A$91,'DGI TABLE'!$C$2:$C$91)</f>
        <v>0.184525693866612</v>
      </c>
      <c r="Q109" s="41" t="n">
        <f aca="false">(_xlfn.XLOOKUP(L109+1,'DGI TABLE'!$A$2:$A$91,'DGI TABLE'!$D$2:$D$91)-_xlfn.XLOOKUP(L109+H109,'DGI TABLE'!$A$2:$A$91,'DGI TABLE'!$D$2:$D$91))/_xlfn.XLOOKUP(L109+1,'DGI TABLE'!$A$2:$A$91,'DGI TABLE'!$C$2:$C$91)</f>
        <v>15.5237549736751</v>
      </c>
      <c r="R109" s="41" t="n">
        <f aca="false">_xlfn.XLOOKUP(L109,'DGI TABLE'!$A$2:$A$91,'DGI TABLE'!$F$2:$F$91)/_xlfn.XLOOKUP(L109,'DGI TABLE'!$A$2:$A$91,'DGI TABLE'!$C$2:$C$91)</f>
        <v>0.00190384751841136</v>
      </c>
      <c r="S109" s="41" t="n">
        <f aca="false">P109/Q109</f>
        <v>0.0118866662208678</v>
      </c>
      <c r="T109" s="41" t="n">
        <f aca="false">O109+0.03/N109</f>
        <v>0.013145835482272</v>
      </c>
      <c r="U109" s="41" t="n">
        <f aca="false">MIN(S109,T109)</f>
        <v>0.0118866662208678</v>
      </c>
      <c r="V109" s="41" t="n">
        <f aca="false">_xlfn.XLOOKUP(L109+K109,'DGI TABLE'!$A$2:$A$91,'DGI TABLE'!$G$2:$G$91)/_xlfn.XLOOKUP(L109+K109,'DGI TABLE'!$A$2:$A$91,'DGI TABLE'!$C$2:$C$91)</f>
        <v>0.196463675901825</v>
      </c>
      <c r="W109" s="41" t="n">
        <f aca="false">(_xlfn.XLOOKUP(L109+K109,'DGI TABLE'!$A$2:$A$91,'DGI TABLE'!$D$2:$D$91)-_xlfn.XLOOKUP(L109+H109,'DGI TABLE'!$A$2:$A$91,'DGI TABLE'!$D$2:$D$91))/_xlfn.XLOOKUP(L109+K109,'DGI TABLE'!$A$2:$A$91,'DGI TABLE'!$C$2:$C$91)</f>
        <v>14.7266514895278</v>
      </c>
      <c r="X109" s="41" t="n">
        <f aca="false">G109*(((1+J109*(K109-1))*V109)-(U109*W109))</f>
        <v>3284.74021479565</v>
      </c>
      <c r="Y109" s="40"/>
    </row>
    <row r="110" customFormat="false" ht="14.25" hidden="false" customHeight="false" outlineLevel="0" collapsed="false">
      <c r="A110" s="41" t="n">
        <v>109</v>
      </c>
      <c r="B110" s="41" t="s">
        <v>182</v>
      </c>
      <c r="C110" s="41" t="s">
        <v>215</v>
      </c>
      <c r="D110" s="41" t="n">
        <v>36</v>
      </c>
      <c r="E110" s="41" t="s">
        <v>36</v>
      </c>
      <c r="F110" s="41" t="s">
        <v>220</v>
      </c>
      <c r="G110" s="41" t="n">
        <v>75000</v>
      </c>
      <c r="H110" s="41" t="n">
        <v>10</v>
      </c>
      <c r="I110" s="41" t="s">
        <v>219</v>
      </c>
      <c r="J110" s="41" t="n">
        <v>0.05</v>
      </c>
      <c r="K110" s="41" t="n">
        <v>2</v>
      </c>
      <c r="L110" s="41" t="n">
        <f aca="false">IF(C110="F",D110-3,D110)</f>
        <v>33</v>
      </c>
      <c r="M110" s="41" t="n">
        <f aca="false">_xlfn.XLOOKUP(L110,'DGI TABLE'!$A$2:$A$91,'DGI TABLE'!$G$2:$G$91)/_xlfn.XLOOKUP(L110,'DGI TABLE'!$A$2:$A$91,'DGI TABLE'!$C$2:$C$91)</f>
        <v>0.223849596257388</v>
      </c>
      <c r="N110" s="41" t="n">
        <f aca="false">(_xlfn.XLOOKUP(L110,'DGI TABLE'!$A$2:$A$91,'DGI TABLE'!$D$2:$D$91)-_xlfn.XLOOKUP(L110+H110,'DGI TABLE'!$A$2:$A$91,'DGI TABLE'!$D$2:$D$91))/_xlfn.XLOOKUP(L110,'DGI TABLE'!$A$2:$A$91,'DGI TABLE'!$C$2:$C$91)</f>
        <v>8.36106938824372</v>
      </c>
      <c r="O110" s="41" t="n">
        <f aca="false">M110/N110</f>
        <v>0.026772842786371</v>
      </c>
      <c r="P110" s="41" t="n">
        <f aca="false">_xlfn.XLOOKUP(L110+1,'DGI TABLE'!$A$2:$A$91,'DGI TABLE'!$G$2:$G$91)/_xlfn.XLOOKUP(L110+1,'DGI TABLE'!$A$2:$A$91,'DGI TABLE'!$C$2:$C$91)</f>
        <v>0.23138163315643</v>
      </c>
      <c r="Q110" s="41" t="n">
        <f aca="false">(_xlfn.XLOOKUP(L110+1,'DGI TABLE'!$A$2:$A$91,'DGI TABLE'!$D$2:$D$91)-_xlfn.XLOOKUP(L110+H110,'DGI TABLE'!$A$2:$A$91,'DGI TABLE'!$D$2:$D$91))/_xlfn.XLOOKUP(L110+1,'DGI TABLE'!$A$2:$A$91,'DGI TABLE'!$C$2:$C$91)</f>
        <v>7.66970102504827</v>
      </c>
      <c r="R110" s="41" t="n">
        <f aca="false">_xlfn.XLOOKUP(L110,'DGI TABLE'!$A$2:$A$91,'DGI TABLE'!$F$2:$F$91)/_xlfn.XLOOKUP(L110,'DGI TABLE'!$A$2:$A$91,'DGI TABLE'!$C$2:$C$91)</f>
        <v>0.0017788465284026</v>
      </c>
      <c r="S110" s="41" t="n">
        <f aca="false">P110/Q110</f>
        <v>0.0301682728441131</v>
      </c>
      <c r="T110" s="41" t="n">
        <f aca="false">O110+0.03/N110</f>
        <v>0.030360900558285</v>
      </c>
      <c r="U110" s="41" t="n">
        <f aca="false">MIN(S110,T110)</f>
        <v>0.0301682728441131</v>
      </c>
      <c r="V110" s="41" t="n">
        <f aca="false">_xlfn.XLOOKUP(L110+K110,'DGI TABLE'!$A$2:$A$91,'DGI TABLE'!$G$2:$G$91)/_xlfn.XLOOKUP(L110+K110,'DGI TABLE'!$A$2:$A$91,'DGI TABLE'!$C$2:$C$91)</f>
        <v>0.239168490424031</v>
      </c>
      <c r="W110" s="41" t="n">
        <f aca="false">(_xlfn.XLOOKUP(L110+K110,'DGI TABLE'!$A$2:$A$91,'DGI TABLE'!$D$2:$D$91)-_xlfn.XLOOKUP(L110+H110,'DGI TABLE'!$A$2:$A$91,'DGI TABLE'!$D$2:$D$91))/_xlfn.XLOOKUP(L110+K110,'DGI TABLE'!$A$2:$A$91,'DGI TABLE'!$C$2:$C$91)</f>
        <v>6.94990228847114</v>
      </c>
      <c r="X110" s="41" t="n">
        <f aca="false">G110*(((1+J110*(K110-1))*V110)-(U110*W110))</f>
        <v>3109.52748500316</v>
      </c>
      <c r="Y110" s="40"/>
    </row>
  </sheetData>
  <autoFilter ref="A1:K110"/>
  <mergeCells count="3">
    <mergeCell ref="Y2:Y44"/>
    <mergeCell ref="Y45:Y72"/>
    <mergeCell ref="Y73:Y1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2026-08-24T10:15:06Z</dcterms:created>
  <dc:creator>openpyxl</dc:creator>
  <dc:description/>
  <dc:language>en-US</dc:language>
  <cp:lastModifiedBy>office</cp:lastModifiedBy>
  <dcterms:modified xsi:type="dcterms:W3CDTF">2026-09-13T22:54:39Z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